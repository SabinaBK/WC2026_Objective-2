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bee/Desktop/WC2026_Objective 2/"/>
    </mc:Choice>
  </mc:AlternateContent>
  <xr:revisionPtr revIDLastSave="0" documentId="13_ncr:1_{5B185040-5ECC-DF49-A904-74F1A13DD0E1}" xr6:coauthVersionLast="47" xr6:coauthVersionMax="47" xr10:uidLastSave="{00000000-0000-0000-0000-000000000000}"/>
  <bookViews>
    <workbookView xWindow="0" yWindow="660" windowWidth="30240" windowHeight="17940" activeTab="1" xr2:uid="{6D8C40B8-B365-E74B-851C-CDB1A87B4DC4}"/>
  </bookViews>
  <sheets>
    <sheet name="Matches" sheetId="1" r:id="rId1"/>
    <sheet name="FIFA_Points" sheetId="7" r:id="rId2"/>
    <sheet name="Recent_Matches" sheetId="8" r:id="rId3"/>
    <sheet name="Player" sheetId="10" r:id="rId4"/>
    <sheet name="Match_Stats" sheetId="3" r:id="rId5"/>
    <sheet name="Constants" sheetId="4" r:id="rId6"/>
    <sheet name="H2H" sheetId="9" r:id="rId7"/>
    <sheet name="Split" sheetId="6" r:id="rId8"/>
    <sheet name="WC2022 Squad_Standard_Stats" sheetId="5" r:id="rId9"/>
    <sheet name="Raw_Matches" sheetId="2" r:id="rId10"/>
  </sheets>
  <definedNames>
    <definedName name="_xlnm._FilterDatabase" localSheetId="1" hidden="1">FIFA_Points!$A$1:$E$1</definedName>
    <definedName name="_xlnm._FilterDatabase" localSheetId="6" hidden="1">H2H!$A$1:$G$1</definedName>
    <definedName name="_xlnm._FilterDatabase" localSheetId="4" hidden="1">Match_Stats!$A$1:$C$209</definedName>
    <definedName name="_xlnm._FilterDatabase" localSheetId="0" hidden="1">Matches!$A$1:$J$105</definedName>
    <definedName name="_xlnm._FilterDatabase" localSheetId="3" hidden="1">Player!$A$1:$N$1</definedName>
    <definedName name="_xlnm._FilterDatabase" localSheetId="2" hidden="1">Recent_Matches!$A$1:$J$1</definedName>
    <definedName name="_xlnm._FilterDatabase" localSheetId="7" hidden="1">Split!$A$1:$E$1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6" l="1"/>
  <c r="B3" i="4"/>
  <c r="A6" i="3"/>
  <c r="B6" i="3" s="1"/>
  <c r="A7" i="3"/>
  <c r="B7" i="3" s="1"/>
  <c r="A8" i="3"/>
  <c r="B8" i="3" s="1"/>
  <c r="A9" i="3"/>
  <c r="B9" i="3" s="1"/>
  <c r="A10" i="3"/>
  <c r="B10" i="3" s="1"/>
  <c r="A11" i="3"/>
  <c r="B11" i="3" s="1"/>
  <c r="A12" i="3"/>
  <c r="B12" i="3" s="1"/>
  <c r="A13" i="3"/>
  <c r="B13" i="3" s="1"/>
  <c r="A14" i="3"/>
  <c r="B14" i="3" s="1"/>
  <c r="A15" i="3"/>
  <c r="B15" i="3" s="1"/>
  <c r="A16" i="3"/>
  <c r="B16" i="3" s="1"/>
  <c r="A17" i="3"/>
  <c r="B17" i="3" s="1"/>
  <c r="A18" i="3"/>
  <c r="B18" i="3" s="1"/>
  <c r="A19" i="3"/>
  <c r="B19" i="3" s="1"/>
  <c r="A20" i="3"/>
  <c r="B20" i="3" s="1"/>
  <c r="A21" i="3"/>
  <c r="B21" i="3" s="1"/>
  <c r="A22" i="3"/>
  <c r="B22" i="3" s="1"/>
  <c r="A23" i="3"/>
  <c r="B23" i="3" s="1"/>
  <c r="A24" i="3"/>
  <c r="B24" i="3" s="1"/>
  <c r="A25" i="3"/>
  <c r="B25" i="3" s="1"/>
  <c r="A26" i="3"/>
  <c r="B26" i="3" s="1"/>
  <c r="A27" i="3"/>
  <c r="B27" i="3" s="1"/>
  <c r="A28" i="3"/>
  <c r="B28" i="3" s="1"/>
  <c r="A29" i="3"/>
  <c r="B29" i="3" s="1"/>
  <c r="A30" i="3"/>
  <c r="B30" i="3" s="1"/>
  <c r="A31" i="3"/>
  <c r="B31" i="3" s="1"/>
  <c r="A32" i="3"/>
  <c r="B32" i="3" s="1"/>
  <c r="A33" i="3"/>
  <c r="B33" i="3" s="1"/>
  <c r="A34" i="3"/>
  <c r="B34" i="3" s="1"/>
  <c r="A35" i="3"/>
  <c r="B35" i="3" s="1"/>
  <c r="A36" i="3"/>
  <c r="B36" i="3" s="1"/>
  <c r="A37" i="3"/>
  <c r="B37" i="3" s="1"/>
  <c r="A38" i="3"/>
  <c r="B38" i="3" s="1"/>
  <c r="A39" i="3"/>
  <c r="B39" i="3" s="1"/>
  <c r="A40" i="3"/>
  <c r="B40" i="3" s="1"/>
  <c r="A41" i="3"/>
  <c r="B41" i="3" s="1"/>
  <c r="A42" i="3"/>
  <c r="B42" i="3" s="1"/>
  <c r="A43" i="3"/>
  <c r="B43" i="3" s="1"/>
  <c r="A44" i="3"/>
  <c r="B44" i="3" s="1"/>
  <c r="A45" i="3"/>
  <c r="B45" i="3" s="1"/>
  <c r="A46" i="3"/>
  <c r="B46" i="3" s="1"/>
  <c r="A47" i="3"/>
  <c r="B47" i="3" s="1"/>
  <c r="A48" i="3"/>
  <c r="B48" i="3" s="1"/>
  <c r="A49" i="3"/>
  <c r="B49" i="3" s="1"/>
  <c r="A50" i="3"/>
  <c r="B50" i="3" s="1"/>
  <c r="A51" i="3"/>
  <c r="B51" i="3" s="1"/>
  <c r="A52" i="3"/>
  <c r="B52" i="3" s="1"/>
  <c r="A53" i="3"/>
  <c r="B53" i="3" s="1"/>
  <c r="A54" i="3"/>
  <c r="B54" i="3" s="1"/>
  <c r="A55" i="3"/>
  <c r="B55" i="3" s="1"/>
  <c r="A56" i="3"/>
  <c r="B56" i="3" s="1"/>
  <c r="A57" i="3"/>
  <c r="B57" i="3" s="1"/>
  <c r="A58" i="3"/>
  <c r="B58" i="3" s="1"/>
  <c r="A59" i="3"/>
  <c r="B59" i="3" s="1"/>
  <c r="A60" i="3"/>
  <c r="B60" i="3" s="1"/>
  <c r="A61" i="3"/>
  <c r="B61" i="3" s="1"/>
  <c r="A62" i="3"/>
  <c r="B62" i="3" s="1"/>
  <c r="A63" i="3"/>
  <c r="B63" i="3" s="1"/>
  <c r="A64" i="3"/>
  <c r="B64" i="3" s="1"/>
  <c r="A65" i="3"/>
  <c r="B65" i="3" s="1"/>
  <c r="A66" i="3"/>
  <c r="B66" i="3" s="1"/>
  <c r="A67" i="3"/>
  <c r="B67" i="3" s="1"/>
  <c r="A68" i="3"/>
  <c r="B68" i="3" s="1"/>
  <c r="A69" i="3"/>
  <c r="B69" i="3" s="1"/>
  <c r="A70" i="3"/>
  <c r="B70" i="3" s="1"/>
  <c r="A71" i="3"/>
  <c r="B71" i="3" s="1"/>
  <c r="A72" i="3"/>
  <c r="B72" i="3" s="1"/>
  <c r="A73" i="3"/>
  <c r="B73" i="3" s="1"/>
  <c r="A74" i="3"/>
  <c r="B74" i="3" s="1"/>
  <c r="A75" i="3"/>
  <c r="B75" i="3" s="1"/>
  <c r="A76" i="3"/>
  <c r="B76" i="3" s="1"/>
  <c r="A77" i="3"/>
  <c r="B77" i="3" s="1"/>
  <c r="A78" i="3"/>
  <c r="B78" i="3" s="1"/>
  <c r="A79" i="3"/>
  <c r="B79" i="3" s="1"/>
  <c r="A80" i="3"/>
  <c r="B80" i="3" s="1"/>
  <c r="A81" i="3"/>
  <c r="B81" i="3" s="1"/>
  <c r="A82" i="3"/>
  <c r="B82" i="3" s="1"/>
  <c r="A83" i="3"/>
  <c r="B83" i="3" s="1"/>
  <c r="A84" i="3"/>
  <c r="B84" i="3" s="1"/>
  <c r="A85" i="3"/>
  <c r="B85" i="3" s="1"/>
  <c r="A86" i="3"/>
  <c r="B86" i="3" s="1"/>
  <c r="A87" i="3"/>
  <c r="B87" i="3" s="1"/>
  <c r="A88" i="3"/>
  <c r="B88" i="3" s="1"/>
  <c r="A89" i="3"/>
  <c r="B89" i="3" s="1"/>
  <c r="A90" i="3"/>
  <c r="B90" i="3" s="1"/>
  <c r="A91" i="3"/>
  <c r="B91" i="3" s="1"/>
  <c r="A92" i="3"/>
  <c r="B92" i="3" s="1"/>
  <c r="A93" i="3"/>
  <c r="B93" i="3" s="1"/>
  <c r="A94" i="3"/>
  <c r="B94" i="3" s="1"/>
  <c r="A95" i="3"/>
  <c r="B95" i="3" s="1"/>
  <c r="A96" i="3"/>
  <c r="B96" i="3" s="1"/>
  <c r="A97" i="3"/>
  <c r="B97" i="3" s="1"/>
  <c r="A98" i="3"/>
  <c r="B98" i="3" s="1"/>
  <c r="A99" i="3"/>
  <c r="B99" i="3" s="1"/>
  <c r="A100" i="3"/>
  <c r="B100" i="3" s="1"/>
  <c r="A101" i="3"/>
  <c r="B101" i="3" s="1"/>
  <c r="A102" i="3"/>
  <c r="B102" i="3" s="1"/>
  <c r="A103" i="3"/>
  <c r="B103" i="3" s="1"/>
  <c r="A104" i="3"/>
  <c r="B104" i="3" s="1"/>
  <c r="A105" i="3"/>
  <c r="B105" i="3" s="1"/>
  <c r="A106" i="3"/>
  <c r="B106" i="3" s="1"/>
  <c r="A107" i="3"/>
  <c r="B107" i="3" s="1"/>
  <c r="A108" i="3"/>
  <c r="B108" i="3" s="1"/>
  <c r="A109" i="3"/>
  <c r="B109" i="3" s="1"/>
  <c r="A110" i="3"/>
  <c r="B110" i="3" s="1"/>
  <c r="A111" i="3"/>
  <c r="B111" i="3" s="1"/>
  <c r="A112" i="3"/>
  <c r="B112" i="3" s="1"/>
  <c r="A113" i="3"/>
  <c r="B113" i="3" s="1"/>
  <c r="A114" i="3"/>
  <c r="B114" i="3" s="1"/>
  <c r="A115" i="3"/>
  <c r="B115" i="3" s="1"/>
  <c r="A116" i="3"/>
  <c r="B116" i="3" s="1"/>
  <c r="A117" i="3"/>
  <c r="B117" i="3" s="1"/>
  <c r="A118" i="3"/>
  <c r="B118" i="3" s="1"/>
  <c r="A119" i="3"/>
  <c r="B119" i="3" s="1"/>
  <c r="A120" i="3"/>
  <c r="B120" i="3" s="1"/>
  <c r="A121" i="3"/>
  <c r="B121" i="3" s="1"/>
  <c r="A122" i="3"/>
  <c r="B122" i="3" s="1"/>
  <c r="A123" i="3"/>
  <c r="B123" i="3" s="1"/>
  <c r="A124" i="3"/>
  <c r="B124" i="3" s="1"/>
  <c r="A125" i="3"/>
  <c r="B125" i="3" s="1"/>
  <c r="A126" i="3"/>
  <c r="B126" i="3" s="1"/>
  <c r="A127" i="3"/>
  <c r="B127" i="3" s="1"/>
  <c r="A128" i="3"/>
  <c r="B128" i="3" s="1"/>
  <c r="A129" i="3"/>
  <c r="B129" i="3" s="1"/>
  <c r="A130" i="3"/>
  <c r="B130" i="3" s="1"/>
  <c r="A131" i="3"/>
  <c r="B131" i="3" s="1"/>
  <c r="A132" i="3"/>
  <c r="B132" i="3" s="1"/>
  <c r="A133" i="3"/>
  <c r="B133" i="3" s="1"/>
  <c r="A134" i="3"/>
  <c r="B134" i="3" s="1"/>
  <c r="A135" i="3"/>
  <c r="B135" i="3" s="1"/>
  <c r="A136" i="3"/>
  <c r="B136" i="3" s="1"/>
  <c r="A137" i="3"/>
  <c r="B137" i="3" s="1"/>
  <c r="A138" i="3"/>
  <c r="B138" i="3" s="1"/>
  <c r="A139" i="3"/>
  <c r="B139" i="3" s="1"/>
  <c r="A140" i="3"/>
  <c r="B140" i="3" s="1"/>
  <c r="A141" i="3"/>
  <c r="B141" i="3" s="1"/>
  <c r="A142" i="3"/>
  <c r="B142" i="3" s="1"/>
  <c r="A143" i="3"/>
  <c r="B143" i="3" s="1"/>
  <c r="A144" i="3"/>
  <c r="B144" i="3" s="1"/>
  <c r="A145" i="3"/>
  <c r="B145" i="3" s="1"/>
  <c r="A146" i="3"/>
  <c r="B146" i="3" s="1"/>
  <c r="A147" i="3"/>
  <c r="B147" i="3" s="1"/>
  <c r="A148" i="3"/>
  <c r="B148" i="3" s="1"/>
  <c r="A149" i="3"/>
  <c r="B149" i="3" s="1"/>
  <c r="A150" i="3"/>
  <c r="B150" i="3" s="1"/>
  <c r="A151" i="3"/>
  <c r="B151" i="3" s="1"/>
  <c r="A152" i="3"/>
  <c r="B152" i="3" s="1"/>
  <c r="A153" i="3"/>
  <c r="B153" i="3" s="1"/>
  <c r="A154" i="3"/>
  <c r="B154" i="3" s="1"/>
  <c r="A155" i="3"/>
  <c r="B155" i="3" s="1"/>
  <c r="A156" i="3"/>
  <c r="B156" i="3" s="1"/>
  <c r="A157" i="3"/>
  <c r="B157" i="3" s="1"/>
  <c r="A158" i="3"/>
  <c r="B158" i="3" s="1"/>
  <c r="A159" i="3"/>
  <c r="B159" i="3" s="1"/>
  <c r="A160" i="3"/>
  <c r="B160" i="3" s="1"/>
  <c r="A161" i="3"/>
  <c r="B161" i="3" s="1"/>
  <c r="A162" i="3"/>
  <c r="B162" i="3" s="1"/>
  <c r="A163" i="3"/>
  <c r="B163" i="3" s="1"/>
  <c r="A164" i="3"/>
  <c r="B164" i="3" s="1"/>
  <c r="A165" i="3"/>
  <c r="B165" i="3" s="1"/>
  <c r="A166" i="3"/>
  <c r="B166" i="3" s="1"/>
  <c r="A167" i="3"/>
  <c r="B167" i="3" s="1"/>
  <c r="A168" i="3"/>
  <c r="B168" i="3" s="1"/>
  <c r="A169" i="3"/>
  <c r="B169" i="3" s="1"/>
  <c r="A170" i="3"/>
  <c r="B170" i="3" s="1"/>
  <c r="A171" i="3"/>
  <c r="B171" i="3" s="1"/>
  <c r="A172" i="3"/>
  <c r="B172" i="3" s="1"/>
  <c r="A173" i="3"/>
  <c r="B173" i="3" s="1"/>
  <c r="A174" i="3"/>
  <c r="B174" i="3" s="1"/>
  <c r="A175" i="3"/>
  <c r="B175" i="3" s="1"/>
  <c r="A176" i="3"/>
  <c r="B176" i="3" s="1"/>
  <c r="A177" i="3"/>
  <c r="B177" i="3" s="1"/>
  <c r="A178" i="3"/>
  <c r="B178" i="3" s="1"/>
  <c r="A179" i="3"/>
  <c r="B179" i="3" s="1"/>
  <c r="A180" i="3"/>
  <c r="B180" i="3" s="1"/>
  <c r="A181" i="3"/>
  <c r="B181" i="3" s="1"/>
  <c r="A182" i="3"/>
  <c r="B182" i="3" s="1"/>
  <c r="A183" i="3"/>
  <c r="B183" i="3" s="1"/>
  <c r="A184" i="3"/>
  <c r="B184" i="3" s="1"/>
  <c r="A185" i="3"/>
  <c r="B185" i="3" s="1"/>
  <c r="A186" i="3"/>
  <c r="B186" i="3" s="1"/>
  <c r="A187" i="3"/>
  <c r="B187" i="3" s="1"/>
  <c r="A188" i="3"/>
  <c r="B188" i="3" s="1"/>
  <c r="A189" i="3"/>
  <c r="B189" i="3" s="1"/>
  <c r="A190" i="3"/>
  <c r="B190" i="3" s="1"/>
  <c r="A191" i="3"/>
  <c r="B191" i="3" s="1"/>
  <c r="A192" i="3"/>
  <c r="B192" i="3" s="1"/>
  <c r="A193" i="3"/>
  <c r="B193" i="3" s="1"/>
  <c r="A194" i="3"/>
  <c r="B194" i="3" s="1"/>
  <c r="A195" i="3"/>
  <c r="B195" i="3" s="1"/>
  <c r="A196" i="3"/>
  <c r="B196" i="3" s="1"/>
  <c r="A197" i="3"/>
  <c r="B197" i="3" s="1"/>
  <c r="A198" i="3"/>
  <c r="B198" i="3" s="1"/>
  <c r="A199" i="3"/>
  <c r="B199" i="3" s="1"/>
  <c r="A200" i="3"/>
  <c r="B200" i="3" s="1"/>
  <c r="A201" i="3"/>
  <c r="B201" i="3" s="1"/>
  <c r="A202" i="3"/>
  <c r="B202" i="3" s="1"/>
  <c r="A203" i="3"/>
  <c r="B203" i="3" s="1"/>
  <c r="A204" i="3"/>
  <c r="B204" i="3" s="1"/>
  <c r="A205" i="3"/>
  <c r="B205" i="3" s="1"/>
  <c r="A206" i="3"/>
  <c r="B206" i="3" s="1"/>
  <c r="A207" i="3"/>
  <c r="B207" i="3" s="1"/>
  <c r="A208" i="3"/>
  <c r="B208" i="3" s="1"/>
  <c r="A209" i="3"/>
  <c r="B209" i="3" s="1"/>
  <c r="A3" i="3"/>
  <c r="B3" i="3" s="1"/>
  <c r="A4" i="3"/>
  <c r="B4" i="3" s="1"/>
  <c r="A5" i="3"/>
  <c r="B5" i="3" s="1"/>
  <c r="A2" i="3"/>
  <c r="B2" i="3" s="1"/>
  <c r="P105" i="2"/>
  <c r="O105" i="2"/>
  <c r="N105" i="2"/>
  <c r="P104" i="2"/>
  <c r="O104" i="2"/>
  <c r="N104" i="2"/>
  <c r="P103" i="2"/>
  <c r="O103" i="2"/>
  <c r="N103" i="2"/>
  <c r="P102" i="2"/>
  <c r="O102" i="2"/>
  <c r="N102" i="2"/>
  <c r="P101" i="2"/>
  <c r="O101" i="2"/>
  <c r="N101" i="2"/>
  <c r="P100" i="2"/>
  <c r="O100" i="2"/>
  <c r="N100" i="2"/>
  <c r="P99" i="2"/>
  <c r="O99" i="2"/>
  <c r="N99" i="2"/>
  <c r="P98" i="2"/>
  <c r="O98" i="2"/>
  <c r="N98" i="2"/>
  <c r="P97" i="2"/>
  <c r="O97" i="2"/>
  <c r="N97" i="2"/>
  <c r="P96" i="2"/>
  <c r="O96" i="2"/>
  <c r="N96" i="2"/>
  <c r="P95" i="2"/>
  <c r="O95" i="2"/>
  <c r="N95" i="2"/>
  <c r="P94" i="2"/>
  <c r="O94" i="2"/>
  <c r="N94" i="2"/>
  <c r="P93" i="2"/>
  <c r="O93" i="2"/>
  <c r="N93" i="2"/>
  <c r="P92" i="2"/>
  <c r="O92" i="2"/>
  <c r="N92" i="2"/>
  <c r="P91" i="2"/>
  <c r="O91" i="2"/>
  <c r="N91" i="2"/>
  <c r="P90" i="2"/>
  <c r="O90" i="2"/>
  <c r="N90" i="2"/>
  <c r="P89" i="2"/>
  <c r="O89" i="2"/>
  <c r="N89" i="2"/>
  <c r="P88" i="2"/>
  <c r="O88" i="2"/>
  <c r="N88" i="2"/>
  <c r="P87" i="2"/>
  <c r="O87" i="2"/>
  <c r="N87" i="2"/>
  <c r="P86" i="2"/>
  <c r="O86" i="2"/>
  <c r="N86" i="2"/>
  <c r="P85" i="2"/>
  <c r="O85" i="2"/>
  <c r="N85" i="2"/>
  <c r="P84" i="2"/>
  <c r="O84" i="2"/>
  <c r="N84" i="2"/>
  <c r="P83" i="2"/>
  <c r="O83" i="2"/>
  <c r="N83" i="2"/>
  <c r="P82" i="2"/>
  <c r="O82" i="2"/>
  <c r="N82" i="2"/>
  <c r="P81" i="2"/>
  <c r="O81" i="2"/>
  <c r="N81" i="2"/>
  <c r="P80" i="2"/>
  <c r="O80" i="2"/>
  <c r="N80" i="2"/>
  <c r="P79" i="2"/>
  <c r="O79" i="2"/>
  <c r="N79" i="2"/>
  <c r="P78" i="2"/>
  <c r="O78" i="2"/>
  <c r="N78" i="2"/>
  <c r="P77" i="2"/>
  <c r="O77" i="2"/>
  <c r="N77" i="2"/>
  <c r="P76" i="2"/>
  <c r="O76" i="2"/>
  <c r="N76" i="2"/>
  <c r="P75" i="2"/>
  <c r="O75" i="2"/>
  <c r="N75" i="2"/>
  <c r="P74" i="2"/>
  <c r="O74" i="2"/>
  <c r="N74" i="2"/>
  <c r="P73" i="2"/>
  <c r="O73" i="2"/>
  <c r="N73" i="2"/>
  <c r="P72" i="2"/>
  <c r="O72" i="2"/>
  <c r="N72" i="2"/>
  <c r="P71" i="2"/>
  <c r="O71" i="2"/>
  <c r="N71" i="2"/>
  <c r="P70" i="2"/>
  <c r="O70" i="2"/>
  <c r="N70" i="2"/>
  <c r="P69" i="2"/>
  <c r="O69" i="2"/>
  <c r="N69" i="2"/>
  <c r="P68" i="2"/>
  <c r="O68" i="2"/>
  <c r="N68" i="2"/>
  <c r="P67" i="2"/>
  <c r="O67" i="2"/>
  <c r="N67" i="2"/>
  <c r="P66" i="2"/>
  <c r="O66" i="2"/>
  <c r="N66" i="2"/>
  <c r="P65" i="2"/>
  <c r="O65" i="2"/>
  <c r="N65" i="2"/>
  <c r="P64" i="2"/>
  <c r="O64" i="2"/>
  <c r="N64" i="2"/>
  <c r="P63" i="2"/>
  <c r="O63" i="2"/>
  <c r="N63" i="2"/>
  <c r="P62" i="2"/>
  <c r="O62" i="2"/>
  <c r="N62" i="2"/>
  <c r="P61" i="2"/>
  <c r="O61" i="2"/>
  <c r="N61" i="2"/>
  <c r="P60" i="2"/>
  <c r="O60" i="2"/>
  <c r="N60" i="2"/>
  <c r="P59" i="2"/>
  <c r="O59" i="2"/>
  <c r="N59" i="2"/>
  <c r="P58" i="2"/>
  <c r="O58" i="2"/>
  <c r="N58" i="2"/>
  <c r="P57" i="2"/>
  <c r="O57" i="2"/>
  <c r="N57" i="2"/>
  <c r="P56" i="2"/>
  <c r="O56" i="2"/>
  <c r="N56" i="2"/>
  <c r="P55" i="2"/>
  <c r="O55" i="2"/>
  <c r="N55" i="2"/>
  <c r="P54" i="2"/>
  <c r="O54" i="2"/>
  <c r="N54" i="2"/>
  <c r="P53" i="2"/>
  <c r="O53" i="2"/>
  <c r="N53" i="2"/>
  <c r="P52" i="2"/>
  <c r="O52" i="2"/>
  <c r="N52" i="2"/>
  <c r="P51" i="2"/>
  <c r="O51" i="2"/>
  <c r="N51" i="2"/>
  <c r="P50" i="2"/>
  <c r="O50" i="2"/>
  <c r="N50" i="2"/>
  <c r="P49" i="2"/>
  <c r="O49" i="2"/>
  <c r="N49" i="2"/>
  <c r="P48" i="2"/>
  <c r="O48" i="2"/>
  <c r="N48" i="2"/>
  <c r="P47" i="2"/>
  <c r="O47" i="2"/>
  <c r="N47" i="2"/>
  <c r="P46" i="2"/>
  <c r="O46" i="2"/>
  <c r="N46" i="2"/>
  <c r="P45" i="2"/>
  <c r="O45" i="2"/>
  <c r="N45" i="2"/>
  <c r="P44" i="2"/>
  <c r="O44" i="2"/>
  <c r="N44" i="2"/>
  <c r="P43" i="2"/>
  <c r="O43" i="2"/>
  <c r="N43" i="2"/>
  <c r="P42" i="2"/>
  <c r="O42" i="2"/>
  <c r="N42" i="2"/>
  <c r="P41" i="2"/>
  <c r="O41" i="2"/>
  <c r="N41" i="2"/>
  <c r="P40" i="2"/>
  <c r="O40" i="2"/>
  <c r="N40" i="2"/>
  <c r="P39" i="2"/>
  <c r="O39" i="2"/>
  <c r="N39" i="2"/>
  <c r="P38" i="2"/>
  <c r="O38" i="2"/>
  <c r="N38" i="2"/>
  <c r="P37" i="2"/>
  <c r="O37" i="2"/>
  <c r="N37" i="2"/>
  <c r="P36" i="2"/>
  <c r="O36" i="2"/>
  <c r="N36" i="2"/>
  <c r="P35" i="2"/>
  <c r="O35" i="2"/>
  <c r="N35" i="2"/>
  <c r="P34" i="2"/>
  <c r="O34" i="2"/>
  <c r="N34" i="2"/>
  <c r="P33" i="2"/>
  <c r="O33" i="2"/>
  <c r="N33" i="2"/>
  <c r="P32" i="2"/>
  <c r="O32" i="2"/>
  <c r="N32" i="2"/>
  <c r="P31" i="2"/>
  <c r="O31" i="2"/>
  <c r="N31" i="2"/>
  <c r="P30" i="2"/>
  <c r="O30" i="2"/>
  <c r="N30" i="2"/>
  <c r="P29" i="2"/>
  <c r="O29" i="2"/>
  <c r="N29" i="2"/>
  <c r="P28" i="2"/>
  <c r="O28" i="2"/>
  <c r="N28" i="2"/>
  <c r="P27" i="2"/>
  <c r="O27" i="2"/>
  <c r="N27" i="2"/>
  <c r="P26" i="2"/>
  <c r="O26" i="2"/>
  <c r="N26" i="2"/>
  <c r="P25" i="2"/>
  <c r="O25" i="2"/>
  <c r="N25" i="2"/>
  <c r="P24" i="2"/>
  <c r="O24" i="2"/>
  <c r="N24" i="2"/>
  <c r="P23" i="2"/>
  <c r="O23" i="2"/>
  <c r="N23" i="2"/>
  <c r="P22" i="2"/>
  <c r="O22" i="2"/>
  <c r="N22" i="2"/>
  <c r="P21" i="2"/>
  <c r="O21" i="2"/>
  <c r="N21" i="2"/>
  <c r="P20" i="2"/>
  <c r="O20" i="2"/>
  <c r="N20" i="2"/>
  <c r="P19" i="2"/>
  <c r="O19" i="2"/>
  <c r="N19" i="2"/>
  <c r="P18" i="2"/>
  <c r="O18" i="2"/>
  <c r="N18" i="2"/>
  <c r="P17" i="2"/>
  <c r="O17" i="2"/>
  <c r="N17" i="2"/>
  <c r="P16" i="2"/>
  <c r="O16" i="2"/>
  <c r="N16" i="2"/>
  <c r="P15" i="2"/>
  <c r="O15" i="2"/>
  <c r="N15" i="2"/>
  <c r="P14" i="2"/>
  <c r="O14" i="2"/>
  <c r="N14" i="2"/>
  <c r="P13" i="2"/>
  <c r="O13" i="2"/>
  <c r="N13" i="2"/>
  <c r="P12" i="2"/>
  <c r="O12" i="2"/>
  <c r="N12" i="2"/>
  <c r="P11" i="2"/>
  <c r="O11" i="2"/>
  <c r="N11" i="2"/>
  <c r="P10" i="2"/>
  <c r="O10" i="2"/>
  <c r="N10" i="2"/>
  <c r="P9" i="2"/>
  <c r="O9" i="2"/>
  <c r="N9" i="2"/>
  <c r="P8" i="2"/>
  <c r="O8" i="2"/>
  <c r="N8" i="2"/>
  <c r="P7" i="2"/>
  <c r="O7" i="2"/>
  <c r="N7" i="2"/>
  <c r="P6" i="2"/>
  <c r="O6" i="2"/>
  <c r="N6" i="2"/>
  <c r="P5" i="2"/>
  <c r="O5" i="2"/>
  <c r="N5" i="2"/>
  <c r="P4" i="2"/>
  <c r="O4" i="2"/>
  <c r="N4" i="2"/>
  <c r="P3" i="2"/>
  <c r="O3" i="2"/>
  <c r="N3" i="2"/>
  <c r="P2" i="2"/>
  <c r="O2" i="2"/>
  <c r="N2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2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7" i="1"/>
  <c r="I8" i="1"/>
  <c r="I9" i="1"/>
  <c r="I10" i="1"/>
  <c r="I11" i="1"/>
  <c r="I12" i="1"/>
  <c r="I13" i="1"/>
  <c r="I14" i="1"/>
  <c r="I15" i="1"/>
  <c r="I16" i="1"/>
  <c r="I17" i="1"/>
  <c r="I18" i="1"/>
  <c r="I3" i="1"/>
  <c r="I4" i="1"/>
  <c r="I5" i="1"/>
  <c r="I6" i="1"/>
  <c r="I2" i="1"/>
  <c r="E21" i="6" l="1"/>
</calcChain>
</file>

<file path=xl/sharedStrings.xml><?xml version="1.0" encoding="utf-8"?>
<sst xmlns="http://schemas.openxmlformats.org/spreadsheetml/2006/main" count="8777" uniqueCount="1942">
  <si>
    <t>Match No</t>
  </si>
  <si>
    <t>Date</t>
  </si>
  <si>
    <t>Stage</t>
  </si>
  <si>
    <t>Team_A</t>
  </si>
  <si>
    <t>Team_B</t>
  </si>
  <si>
    <t>Goals_A</t>
  </si>
  <si>
    <t>Goals_B</t>
  </si>
  <si>
    <t>Shootout</t>
  </si>
  <si>
    <t>Goal_diff</t>
  </si>
  <si>
    <t>Set_80_20</t>
  </si>
  <si>
    <t>Set_70_30</t>
  </si>
  <si>
    <t>Knockout</t>
  </si>
  <si>
    <t>Mexico mx</t>
  </si>
  <si>
    <t>Korea Republic kr</t>
  </si>
  <si>
    <t>Canada ca</t>
  </si>
  <si>
    <t>USA us</t>
  </si>
  <si>
    <t>Qatar qa</t>
  </si>
  <si>
    <t>Brazil br</t>
  </si>
  <si>
    <t>Australia au</t>
  </si>
  <si>
    <t>Haiti ht</t>
  </si>
  <si>
    <t>Germany de</t>
  </si>
  <si>
    <t>Netherlands nl</t>
  </si>
  <si>
    <t>Côte d'Ivoire ci</t>
  </si>
  <si>
    <t>Sweden se</t>
  </si>
  <si>
    <t>Belgium be</t>
  </si>
  <si>
    <t>Spain es</t>
  </si>
  <si>
    <t>Saudi Arabia sa</t>
  </si>
  <si>
    <t>IR Iran ir</t>
  </si>
  <si>
    <t>France fr</t>
  </si>
  <si>
    <t>Iraq iq</t>
  </si>
  <si>
    <t>Argentina ar</t>
  </si>
  <si>
    <t>Austria at</t>
  </si>
  <si>
    <t>Portugal pt</t>
  </si>
  <si>
    <t>England eng</t>
  </si>
  <si>
    <t>Ghana gh</t>
  </si>
  <si>
    <t>Uzbekistan uz</t>
  </si>
  <si>
    <t>Czechia cz</t>
  </si>
  <si>
    <t>Switzerland ch</t>
  </si>
  <si>
    <t>Scotland sct</t>
  </si>
  <si>
    <t>Türkiye tr</t>
  </si>
  <si>
    <t>Ecuador ec</t>
  </si>
  <si>
    <t>Tunisia tn</t>
  </si>
  <si>
    <t>Uruguay uy</t>
  </si>
  <si>
    <t>New Zealand nz</t>
  </si>
  <si>
    <t>Norway no</t>
  </si>
  <si>
    <t>Jordan jo</t>
  </si>
  <si>
    <t>Panama pa</t>
  </si>
  <si>
    <t>Colombia co</t>
  </si>
  <si>
    <t>Bosnia–Herz ba</t>
  </si>
  <si>
    <t>Morocco ma</t>
  </si>
  <si>
    <t>South Africa za</t>
  </si>
  <si>
    <t>Curaçao cw</t>
  </si>
  <si>
    <t>Japan jp</t>
  </si>
  <si>
    <t>Paraguay py</t>
  </si>
  <si>
    <t>Senegal sn</t>
  </si>
  <si>
    <t>Cabo Verde cv</t>
  </si>
  <si>
    <t>Egypt eg</t>
  </si>
  <si>
    <t>Croatia hr</t>
  </si>
  <si>
    <t>Congo DR cd</t>
  </si>
  <si>
    <t>Algeria dz</t>
  </si>
  <si>
    <t>za South Africa</t>
  </si>
  <si>
    <t>cz Czechia</t>
  </si>
  <si>
    <t>ba Bosnia–Herz</t>
  </si>
  <si>
    <t>py Paraguay</t>
  </si>
  <si>
    <t>ch Switzerland</t>
  </si>
  <si>
    <t>ma Morocco</t>
  </si>
  <si>
    <t>tr Türkiye</t>
  </si>
  <si>
    <t>sct Scotland</t>
  </si>
  <si>
    <t>cw Curaçao</t>
  </si>
  <si>
    <t>jp Japan</t>
  </si>
  <si>
    <t>ec Ecuador</t>
  </si>
  <si>
    <t>tn Tunisia</t>
  </si>
  <si>
    <t>eg Egypt</t>
  </si>
  <si>
    <t>cv Cabo Verde</t>
  </si>
  <si>
    <t>uy Uruguay</t>
  </si>
  <si>
    <t>nz New Zealand</t>
  </si>
  <si>
    <t>sn Senegal</t>
  </si>
  <si>
    <t>no Norway</t>
  </si>
  <si>
    <t>dz Algeria</t>
  </si>
  <si>
    <t>jo Jordan</t>
  </si>
  <si>
    <t>cd Congo DR</t>
  </si>
  <si>
    <t>hr Croatia</t>
  </si>
  <si>
    <t>pa Panama</t>
  </si>
  <si>
    <t>co Colombia</t>
  </si>
  <si>
    <t>qa Qatar</t>
  </si>
  <si>
    <t>kr Korea Republic</t>
  </si>
  <si>
    <t>au Australia</t>
  </si>
  <si>
    <t>ht Haiti</t>
  </si>
  <si>
    <t>se Sweden</t>
  </si>
  <si>
    <t>ci Côte d'Ivoire</t>
  </si>
  <si>
    <t>sa Saudi Arabia</t>
  </si>
  <si>
    <t>ir IR Iran</t>
  </si>
  <si>
    <t>at Austria</t>
  </si>
  <si>
    <t>iq Iraq</t>
  </si>
  <si>
    <t>uz Uzbekistan</t>
  </si>
  <si>
    <t>gh Ghana</t>
  </si>
  <si>
    <t>ca Canada</t>
  </si>
  <si>
    <t>br Brazil</t>
  </si>
  <si>
    <t>mx Mexico</t>
  </si>
  <si>
    <t>de Germany</t>
  </si>
  <si>
    <t>nl Netherlands</t>
  </si>
  <si>
    <t>us USA</t>
  </si>
  <si>
    <t>fr France</t>
  </si>
  <si>
    <t>es Spain</t>
  </si>
  <si>
    <t>be Belgium</t>
  </si>
  <si>
    <t>eng England</t>
  </si>
  <si>
    <t>pt Portugal</t>
  </si>
  <si>
    <t>ar Argentina</t>
  </si>
  <si>
    <t>Group stage</t>
  </si>
  <si>
    <t>Round of 32</t>
  </si>
  <si>
    <t>Round of 16</t>
  </si>
  <si>
    <t>Quarter-finals</t>
  </si>
  <si>
    <t>Semi-finals</t>
  </si>
  <si>
    <t>Third-place match</t>
  </si>
  <si>
    <t>Final</t>
  </si>
  <si>
    <t>Mexico</t>
  </si>
  <si>
    <t>Korea Republic</t>
  </si>
  <si>
    <t>Canada</t>
  </si>
  <si>
    <t>USA</t>
  </si>
  <si>
    <t>Qatar</t>
  </si>
  <si>
    <t>Brazil</t>
  </si>
  <si>
    <t>Australia</t>
  </si>
  <si>
    <t>Haiti</t>
  </si>
  <si>
    <t>Germany</t>
  </si>
  <si>
    <t>Netherlands</t>
  </si>
  <si>
    <t>Côte d'Ivoire</t>
  </si>
  <si>
    <t>Sweden</t>
  </si>
  <si>
    <t>Belgium</t>
  </si>
  <si>
    <t>Spain</t>
  </si>
  <si>
    <t>Saudi Arabia</t>
  </si>
  <si>
    <t>IR Iran</t>
  </si>
  <si>
    <t>France</t>
  </si>
  <si>
    <t>Iraq</t>
  </si>
  <si>
    <t>Argentina</t>
  </si>
  <si>
    <t>Austria</t>
  </si>
  <si>
    <t>Portugal</t>
  </si>
  <si>
    <t>England</t>
  </si>
  <si>
    <t>Ghana</t>
  </si>
  <si>
    <t>Uzbekistan</t>
  </si>
  <si>
    <t>Czechia</t>
  </si>
  <si>
    <t>Switzerland</t>
  </si>
  <si>
    <t>Scotland</t>
  </si>
  <si>
    <t>Türkiye</t>
  </si>
  <si>
    <t>Ecuador</t>
  </si>
  <si>
    <t>Tunisia</t>
  </si>
  <si>
    <t>Uruguay</t>
  </si>
  <si>
    <t>New Zealand</t>
  </si>
  <si>
    <t>Norway</t>
  </si>
  <si>
    <t>Jordan</t>
  </si>
  <si>
    <t>Panama</t>
  </si>
  <si>
    <t>Colombia</t>
  </si>
  <si>
    <t>Morocco</t>
  </si>
  <si>
    <t>South Africa</t>
  </si>
  <si>
    <t>Curaçao</t>
  </si>
  <si>
    <t>Japan</t>
  </si>
  <si>
    <t>Paraguay</t>
  </si>
  <si>
    <t>Senegal</t>
  </si>
  <si>
    <t>Cabo Verde</t>
  </si>
  <si>
    <t>Egypt</t>
  </si>
  <si>
    <t>Croatia</t>
  </si>
  <si>
    <t>Congo DR</t>
  </si>
  <si>
    <t>Algeria</t>
  </si>
  <si>
    <t/>
  </si>
  <si>
    <t>3-4</t>
  </si>
  <si>
    <t>2-3</t>
  </si>
  <si>
    <t>2-4</t>
  </si>
  <si>
    <t>4-3</t>
  </si>
  <si>
    <t>Round</t>
  </si>
  <si>
    <t>Wk</t>
  </si>
  <si>
    <t>Day</t>
  </si>
  <si>
    <t>Time</t>
  </si>
  <si>
    <t>Home</t>
  </si>
  <si>
    <t>Score</t>
  </si>
  <si>
    <t>Away</t>
  </si>
  <si>
    <t>Attendance</t>
  </si>
  <si>
    <t>Venue</t>
  </si>
  <si>
    <t>Referee</t>
  </si>
  <si>
    <t>Match Report</t>
  </si>
  <si>
    <t>Notes</t>
  </si>
  <si>
    <t>Thu</t>
  </si>
  <si>
    <t>13:00 (04:30)</t>
  </si>
  <si>
    <t>2–0</t>
  </si>
  <si>
    <t>Estadio Banorte (Neutral Site)</t>
  </si>
  <si>
    <t>Wilton Sampaio</t>
  </si>
  <si>
    <t>20:00 (11:30)</t>
  </si>
  <si>
    <t>2–1</t>
  </si>
  <si>
    <t>Estadio Akron (Neutral Site)</t>
  </si>
  <si>
    <t>Amin Omar</t>
  </si>
  <si>
    <t>Fri</t>
  </si>
  <si>
    <t>15:00 (04:30)</t>
  </si>
  <si>
    <t>1–1</t>
  </si>
  <si>
    <t>BMO Field (Neutral Site)</t>
  </si>
  <si>
    <t>Facundo Tello</t>
  </si>
  <si>
    <t>18:00 (10:30)</t>
  </si>
  <si>
    <t>4–1</t>
  </si>
  <si>
    <t>SoFi Stadium (Neutral Site)</t>
  </si>
  <si>
    <t>Danny Makkelie</t>
  </si>
  <si>
    <t>Sat</t>
  </si>
  <si>
    <t>12:00 (04:30)</t>
  </si>
  <si>
    <t>Levi's Stadium (Neutral Site)</t>
  </si>
  <si>
    <t>Said Martínez</t>
  </si>
  <si>
    <t>18:00 (07:30)</t>
  </si>
  <si>
    <t>MetLife Stadium (Neutral Site)</t>
  </si>
  <si>
    <t>Slavko Vinčič</t>
  </si>
  <si>
    <t>21:00 (13:30)</t>
  </si>
  <si>
    <t>BC Place Stadium (Neutral Site)</t>
  </si>
  <si>
    <t>Jesús Valenzuela</t>
  </si>
  <si>
    <t>21:00 (10:30)</t>
  </si>
  <si>
    <t>0–1</t>
  </si>
  <si>
    <t>Gillette Stadium (Neutral Site)</t>
  </si>
  <si>
    <t>Mustapha Ghorbal</t>
  </si>
  <si>
    <t>Sun</t>
  </si>
  <si>
    <t>12:00 (02:30)</t>
  </si>
  <si>
    <t>7–1</t>
  </si>
  <si>
    <t>Reliant Stadium (Neutral Site)</t>
  </si>
  <si>
    <t>Jalal Jiyed</t>
  </si>
  <si>
    <t>15:00 (05:30)</t>
  </si>
  <si>
    <t>2–2</t>
  </si>
  <si>
    <t>AT&amp;T Stadium (Neutral Site)</t>
  </si>
  <si>
    <t>Ismail Elfath</t>
  </si>
  <si>
    <t>19:00 (08:30)</t>
  </si>
  <si>
    <t>1–0</t>
  </si>
  <si>
    <t>Lincoln Financial Field (Neutral Site)</t>
  </si>
  <si>
    <t>François Letexier</t>
  </si>
  <si>
    <t>5–1</t>
  </si>
  <si>
    <t>Estadio BBVA (Neutral Site)</t>
  </si>
  <si>
    <t>Yael Falcón</t>
  </si>
  <si>
    <t>Mon</t>
  </si>
  <si>
    <t>Lumen Field (Neutral Site)</t>
  </si>
  <si>
    <t>Ramon Abatti</t>
  </si>
  <si>
    <t>12:00 (01:30)</t>
  </si>
  <si>
    <t>0–0</t>
  </si>
  <si>
    <t>Mercedes-Benz Stadium (Neutral Site)</t>
  </si>
  <si>
    <t>Adham Makhadmeh</t>
  </si>
  <si>
    <t>Hard Rock Stadium (Neutral Site)</t>
  </si>
  <si>
    <t>Maurizio Mariani</t>
  </si>
  <si>
    <t>César Arturo Ramos</t>
  </si>
  <si>
    <t>Tue</t>
  </si>
  <si>
    <t>3–1</t>
  </si>
  <si>
    <t>Alireza Faghani</t>
  </si>
  <si>
    <t>1–4</t>
  </si>
  <si>
    <t>Pierre Ghislain Atcho</t>
  </si>
  <si>
    <t>20:00 (10:30)</t>
  </si>
  <si>
    <t>3–0</t>
  </si>
  <si>
    <t>GEHA Field at Arrowhead Stadium (Neutral Site)</t>
  </si>
  <si>
    <t>Szymon Marciniak</t>
  </si>
  <si>
    <t>Dahane Beida</t>
  </si>
  <si>
    <t>Wed</t>
  </si>
  <si>
    <t>Abdulrahman Ibrahim Al Jassim</t>
  </si>
  <si>
    <t>4–2</t>
  </si>
  <si>
    <t>Clément Turpin</t>
  </si>
  <si>
    <t>Glenn Nyberg</t>
  </si>
  <si>
    <t>1–3</t>
  </si>
  <si>
    <t>Anthony Taylor</t>
  </si>
  <si>
    <t>Tori Penso</t>
  </si>
  <si>
    <t>João Pinheiro</t>
  </si>
  <si>
    <t>15:00 (07:30)</t>
  </si>
  <si>
    <t>6–0</t>
  </si>
  <si>
    <t>Cristián Garay</t>
  </si>
  <si>
    <t>19:00 (10:30)</t>
  </si>
  <si>
    <t>Gustavo Tejera</t>
  </si>
  <si>
    <t>Felix Zwayer</t>
  </si>
  <si>
    <t>Ilgiz Tantashev</t>
  </si>
  <si>
    <t>20:00 (12:30)</t>
  </si>
  <si>
    <t>Iván Barton</t>
  </si>
  <si>
    <t>20:30 (10:00)</t>
  </si>
  <si>
    <t>Alejandro Hernández</t>
  </si>
  <si>
    <t>Michael Oliver</t>
  </si>
  <si>
    <t>16:00 (05:30)</t>
  </si>
  <si>
    <t>Juan Gabriel Benítez</t>
  </si>
  <si>
    <t>19:00 (09:30)</t>
  </si>
  <si>
    <t>Ma Ning</t>
  </si>
  <si>
    <t>22:00 (13:30)</t>
  </si>
  <si>
    <t>0–4</t>
  </si>
  <si>
    <t>István Kovács</t>
  </si>
  <si>
    <t>4–0</t>
  </si>
  <si>
    <t>Raphael Claus</t>
  </si>
  <si>
    <t>Darío Herrera</t>
  </si>
  <si>
    <t>Espen Eskås</t>
  </si>
  <si>
    <t>Omar Mohamed Al Ali</t>
  </si>
  <si>
    <t>17:00 (06:30)</t>
  </si>
  <si>
    <t>Drew Fischer</t>
  </si>
  <si>
    <t>20:00 (09:30)</t>
  </si>
  <si>
    <t>3–2</t>
  </si>
  <si>
    <t>1–2</t>
  </si>
  <si>
    <t>5–0</t>
  </si>
  <si>
    <t>Jalal Jayed</t>
  </si>
  <si>
    <t>0–3</t>
  </si>
  <si>
    <t>0–2</t>
  </si>
  <si>
    <t>18:00 (08:30)</t>
  </si>
  <si>
    <t>Katia García</t>
  </si>
  <si>
    <t>19:00 (11:30)</t>
  </si>
  <si>
    <t>18:00 (09:30)</t>
  </si>
  <si>
    <t>1–5</t>
  </si>
  <si>
    <t>19:30 (09:00)</t>
  </si>
  <si>
    <t>21:00 (11:30)</t>
  </si>
  <si>
    <t>3–3</t>
  </si>
  <si>
    <t>16:30 (06:00)</t>
  </si>
  <si>
    <t>(3) 1–1 (4)</t>
  </si>
  <si>
    <t>Paraguay won a penalty shoot-out following extra time</t>
  </si>
  <si>
    <t>(2) 1–1 (3)</t>
  </si>
  <si>
    <t>Morocco won a penalty shoot-out following extra time</t>
  </si>
  <si>
    <t>13:00 (05:30)</t>
  </si>
  <si>
    <t>Required Extra Time</t>
  </si>
  <si>
    <t>17:00 (09:30)</t>
  </si>
  <si>
    <t>13:00 (03:30)</t>
  </si>
  <si>
    <t>(2) 1–1 (4)</t>
  </si>
  <si>
    <t>Egypt won a penalty shoot-out following extra time</t>
  </si>
  <si>
    <t>20:30 (11:00)</t>
  </si>
  <si>
    <t>2–3</t>
  </si>
  <si>
    <t>14:00 (04:30)</t>
  </si>
  <si>
    <t>(4) 0–0 (3)</t>
  </si>
  <si>
    <t>Switzerland won a penalty shoot-out following extra time</t>
  </si>
  <si>
    <t>4–6</t>
  </si>
  <si>
    <t>Team</t>
  </si>
  <si>
    <t>xG</t>
  </si>
  <si>
    <t>Constant</t>
  </si>
  <si>
    <t>Value</t>
  </si>
  <si>
    <t>WC2022_avg_goals_per_team_match</t>
  </si>
  <si>
    <t>Playing Time</t>
  </si>
  <si>
    <t>Performance</t>
  </si>
  <si>
    <t>Per 90 Minutes</t>
  </si>
  <si>
    <t>Squad</t>
  </si>
  <si>
    <t># Pl</t>
  </si>
  <si>
    <t>Age</t>
  </si>
  <si>
    <t>Poss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</si>
  <si>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</si>
  <si>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</si>
  <si>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</si>
  <si>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</si>
  <si>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</si>
  <si>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</si>
  <si>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</si>
  <si>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</si>
  <si>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</si>
  <si>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</si>
  <si>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</si>
  <si>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</si>
  <si>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</si>
  <si>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t>cm Cameroon</t>
  </si>
  <si>
    <t>cr Costa Rica</t>
  </si>
  <si>
    <t>dk Denmark</t>
  </si>
  <si>
    <t>pl Poland</t>
  </si>
  <si>
    <t>rs Serbia</t>
  </si>
  <si>
    <t>wls Wales</t>
  </si>
  <si>
    <t>WC2022_Goals</t>
  </si>
  <si>
    <t>Match  No</t>
  </si>
  <si>
    <t>Test</t>
  </si>
  <si>
    <t>Train</t>
  </si>
  <si>
    <t>Bosnia and Herzegovina</t>
  </si>
  <si>
    <t>Team_No</t>
  </si>
  <si>
    <t>Team_Type</t>
  </si>
  <si>
    <t>FIFA_Points</t>
  </si>
  <si>
    <t>Ranking_Date</t>
  </si>
  <si>
    <t>World Cup 2026 Team</t>
  </si>
  <si>
    <t>Italy</t>
  </si>
  <si>
    <t>Opponent / Potential Opponent</t>
  </si>
  <si>
    <t>Denmark</t>
  </si>
  <si>
    <t>Ukraine</t>
  </si>
  <si>
    <t>Poland</t>
  </si>
  <si>
    <t>Wales</t>
  </si>
  <si>
    <t>Russia</t>
  </si>
  <si>
    <t>Serbia</t>
  </si>
  <si>
    <t>Nigeria</t>
  </si>
  <si>
    <t>Hungary</t>
  </si>
  <si>
    <t>Slovakia</t>
  </si>
  <si>
    <t>Greece</t>
  </si>
  <si>
    <t>Romania</t>
  </si>
  <si>
    <t>Venezuela</t>
  </si>
  <si>
    <t>Costa Rica</t>
  </si>
  <si>
    <t>Peru</t>
  </si>
  <si>
    <t>Chile</t>
  </si>
  <si>
    <t>Mali</t>
  </si>
  <si>
    <t>Slovenia</t>
  </si>
  <si>
    <t>Cameroon</t>
  </si>
  <si>
    <t>Republic of Ireland</t>
  </si>
  <si>
    <t>Burkina Faso</t>
  </si>
  <si>
    <t>Albania</t>
  </si>
  <si>
    <t>Honduras</t>
  </si>
  <si>
    <t>North Macedonia</t>
  </si>
  <si>
    <t>United Arab Emirates</t>
  </si>
  <si>
    <t>Jamaica</t>
  </si>
  <si>
    <t>Georgia</t>
  </si>
  <si>
    <t>Iceland</t>
  </si>
  <si>
    <t>Finland</t>
  </si>
  <si>
    <t>Bolivia</t>
  </si>
  <si>
    <t>Israel</t>
  </si>
  <si>
    <t>Gabon</t>
  </si>
  <si>
    <t>Oman</t>
  </si>
  <si>
    <t>Kosovo</t>
  </si>
  <si>
    <t>Guinea</t>
  </si>
  <si>
    <t>Montenegro</t>
  </si>
  <si>
    <t>Uganda</t>
  </si>
  <si>
    <t>Syria</t>
  </si>
  <si>
    <t>Bulgaria</t>
  </si>
  <si>
    <t>Angola</t>
  </si>
  <si>
    <t>Bahrain</t>
  </si>
  <si>
    <t>Zambia</t>
  </si>
  <si>
    <t>Benin</t>
  </si>
  <si>
    <t>China PR</t>
  </si>
  <si>
    <t>Guatemala</t>
  </si>
  <si>
    <t>Palestine</t>
  </si>
  <si>
    <t>Thailand</t>
  </si>
  <si>
    <t>Equatorial Guinea</t>
  </si>
  <si>
    <t>Trinidad and Tobago</t>
  </si>
  <si>
    <t>Belarus</t>
  </si>
  <si>
    <t>El Salvador</t>
  </si>
  <si>
    <t>Tajikistan</t>
  </si>
  <si>
    <t>Mozambique</t>
  </si>
  <si>
    <t>Luxembourg</t>
  </si>
  <si>
    <t>Kyrgyz Republic</t>
  </si>
  <si>
    <t>Madagascar</t>
  </si>
  <si>
    <t>Armenia</t>
  </si>
  <si>
    <t>Vietnam</t>
  </si>
  <si>
    <t>Lebanon</t>
  </si>
  <si>
    <t>Comoros</t>
  </si>
  <si>
    <t>Niger</t>
  </si>
  <si>
    <t>Libya</t>
  </si>
  <si>
    <t>Tanzania</t>
  </si>
  <si>
    <t>Kenya</t>
  </si>
  <si>
    <t>Kazakhstan</t>
  </si>
  <si>
    <t>Mauritania</t>
  </si>
  <si>
    <t>The Gambia</t>
  </si>
  <si>
    <t>Sudan</t>
  </si>
  <si>
    <t>Namibia</t>
  </si>
  <si>
    <t>Korea DPR</t>
  </si>
  <si>
    <t>Sierra Leone</t>
  </si>
  <si>
    <t>Malaysia</t>
  </si>
  <si>
    <t>Indonesia</t>
  </si>
  <si>
    <t>Suriname</t>
  </si>
  <si>
    <t>Togo</t>
  </si>
  <si>
    <t>Faroe Islands</t>
  </si>
  <si>
    <t>Malawi</t>
  </si>
  <si>
    <t>Azerbaijan</t>
  </si>
  <si>
    <t>Cyprus</t>
  </si>
  <si>
    <t>Zimbabwe</t>
  </si>
  <si>
    <t>Estonia</t>
  </si>
  <si>
    <t>Rwanda</t>
  </si>
  <si>
    <t>Nicaragua</t>
  </si>
  <si>
    <t>Guinea-Bissau</t>
  </si>
  <si>
    <t>Congo</t>
  </si>
  <si>
    <t>Kuwait</t>
  </si>
  <si>
    <t>Philippines</t>
  </si>
  <si>
    <t>Turkmenistan</t>
  </si>
  <si>
    <t>Botswana</t>
  </si>
  <si>
    <t>Central African Republic</t>
  </si>
  <si>
    <t>Latvia</t>
  </si>
  <si>
    <t>Liberia</t>
  </si>
  <si>
    <t>India</t>
  </si>
  <si>
    <t>Dominican Republic</t>
  </si>
  <si>
    <t>Lesotho</t>
  </si>
  <si>
    <t>Burundi</t>
  </si>
  <si>
    <t>Lithuania</t>
  </si>
  <si>
    <t>Ethiopia</t>
  </si>
  <si>
    <t>Singapore</t>
  </si>
  <si>
    <t>Yemen</t>
  </si>
  <si>
    <t>New Caledonia</t>
  </si>
  <si>
    <t>Guyana</t>
  </si>
  <si>
    <t>Solomon Islands</t>
  </si>
  <si>
    <t>Hong Kong, China</t>
  </si>
  <si>
    <t>St Kitts and Nevis</t>
  </si>
  <si>
    <t>Fiji</t>
  </si>
  <si>
    <t>Puerto Rico</t>
  </si>
  <si>
    <t>Tahiti</t>
  </si>
  <si>
    <t>Moldova</t>
  </si>
  <si>
    <t>Eswatini</t>
  </si>
  <si>
    <t>Vanuatu</t>
  </si>
  <si>
    <t>Malta</t>
  </si>
  <si>
    <t>Afghanistan</t>
  </si>
  <si>
    <t>Myanmar</t>
  </si>
  <si>
    <t>Grenada</t>
  </si>
  <si>
    <t>Antigua and Barbuda</t>
  </si>
  <si>
    <t>Cuba</t>
  </si>
  <si>
    <t>St Lucia</t>
  </si>
  <si>
    <t>South Sudan</t>
  </si>
  <si>
    <t>Bermuda</t>
  </si>
  <si>
    <t>Papua New Guinea</t>
  </si>
  <si>
    <t>St Vincent and the Grenadines</t>
  </si>
  <si>
    <t>Andorra</t>
  </si>
  <si>
    <t>Maldives</t>
  </si>
  <si>
    <t>Chinese Taipei</t>
  </si>
  <si>
    <t>Montserrat</t>
  </si>
  <si>
    <t>Mauritius</t>
  </si>
  <si>
    <t>Chad</t>
  </si>
  <si>
    <t>Barbados</t>
  </si>
  <si>
    <t>Cambodia</t>
  </si>
  <si>
    <t>Bangladesh</t>
  </si>
  <si>
    <t>Belize</t>
  </si>
  <si>
    <t>Nepal</t>
  </si>
  <si>
    <t>Dominica</t>
  </si>
  <si>
    <t>American Samoa</t>
  </si>
  <si>
    <t>Mongolia</t>
  </si>
  <si>
    <t>Cook Islands</t>
  </si>
  <si>
    <t>Samoa</t>
  </si>
  <si>
    <t>Brunei Darussalam</t>
  </si>
  <si>
    <t>São Tomé and Príncipe</t>
  </si>
  <si>
    <t>Laos</t>
  </si>
  <si>
    <t>Aruba</t>
  </si>
  <si>
    <t>Bhutan</t>
  </si>
  <si>
    <t>Macau</t>
  </si>
  <si>
    <t>Sri Lanka</t>
  </si>
  <si>
    <t>Cayman Islands</t>
  </si>
  <si>
    <t>Djibouti</t>
  </si>
  <si>
    <t>Tonga</t>
  </si>
  <si>
    <t>Timor-Leste</t>
  </si>
  <si>
    <t>Pakistan</t>
  </si>
  <si>
    <t>Somalia</t>
  </si>
  <si>
    <t>Guam</t>
  </si>
  <si>
    <t>Gibraltar</t>
  </si>
  <si>
    <t>Seychelles</t>
  </si>
  <si>
    <t>Turks and Caicos Islands</t>
  </si>
  <si>
    <t>Liechtenstein</t>
  </si>
  <si>
    <t>Bahamas</t>
  </si>
  <si>
    <t>US Virgin Islands</t>
  </si>
  <si>
    <t>British Virgin Islands</t>
  </si>
  <si>
    <t>Anguilla</t>
  </si>
  <si>
    <t>San Marino</t>
  </si>
  <si>
    <t>Match_No</t>
  </si>
  <si>
    <t>Competition</t>
  </si>
  <si>
    <t>Result</t>
  </si>
  <si>
    <t>GF</t>
  </si>
  <si>
    <t>GA</t>
  </si>
  <si>
    <t>Opponent</t>
  </si>
  <si>
    <t>Africa Cup of Nations</t>
  </si>
  <si>
    <t>Neutral</t>
  </si>
  <si>
    <t>L</t>
  </si>
  <si>
    <t>W</t>
  </si>
  <si>
    <t>WCQ</t>
  </si>
  <si>
    <t>D</t>
  </si>
  <si>
    <t>UAE</t>
  </si>
  <si>
    <t>UEFA Nations League</t>
  </si>
  <si>
    <t>Gold Cup</t>
  </si>
  <si>
    <t>Trinidad &amp; Tobago</t>
  </si>
  <si>
    <t>Côte d’Ivoire</t>
  </si>
  <si>
    <t>AFCON qual.</t>
  </si>
  <si>
    <t>No. Macedonia</t>
  </si>
  <si>
    <t>OFC Nations Cup</t>
  </si>
  <si>
    <t>World Cup qual.</t>
  </si>
  <si>
    <t>Bosnia–Herz</t>
  </si>
  <si>
    <t>Rep. of Ireland</t>
  </si>
  <si>
    <t>CAR</t>
  </si>
  <si>
    <t>Fixture #</t>
  </si>
  <si>
    <t>Team A</t>
  </si>
  <si>
    <t>Team B</t>
  </si>
  <si>
    <t>Previous Meetings</t>
  </si>
  <si>
    <t>Team A Goals</t>
  </si>
  <si>
    <t>Team B Goals</t>
  </si>
  <si>
    <t>Avg Goal Difference</t>
  </si>
  <si>
    <t>Ecuador***</t>
  </si>
  <si>
    <t>eligible_attacker_900_minutes</t>
  </si>
  <si>
    <t>attacker_output_per_90</t>
  </si>
  <si>
    <t>cl_experienced_defender_or_goalkeeper</t>
  </si>
  <si>
    <t>Ramy Bensebaini</t>
  </si>
  <si>
    <t>DF</t>
  </si>
  <si>
    <t>Dortmund</t>
  </si>
  <si>
    <t>de Bundesliga</t>
  </si>
  <si>
    <t>Fares Chaïbi</t>
  </si>
  <si>
    <t>MF</t>
  </si>
  <si>
    <t>Frankfurt</t>
  </si>
  <si>
    <t>Aïssa Mandi</t>
  </si>
  <si>
    <t>Lille</t>
  </si>
  <si>
    <t>fr Ligue 1</t>
  </si>
  <si>
    <t>Ibrahim Maza</t>
  </si>
  <si>
    <t>Leverkusen</t>
  </si>
  <si>
    <t>Rafik Belghali</t>
  </si>
  <si>
    <t>Hellas Verona</t>
  </si>
  <si>
    <t>it Serie A</t>
  </si>
  <si>
    <t>Nabil Bentaleb</t>
  </si>
  <si>
    <t>Rayan Aït-Nouri</t>
  </si>
  <si>
    <t>Manchester City</t>
  </si>
  <si>
    <t>eng Premier League</t>
  </si>
  <si>
    <t>Luca Zidane</t>
  </si>
  <si>
    <t>GK</t>
  </si>
  <si>
    <t>Riyad Mahrez</t>
  </si>
  <si>
    <t>Amine Gouiri</t>
  </si>
  <si>
    <t>FW</t>
  </si>
  <si>
    <t>Marseille</t>
  </si>
  <si>
    <t>Houssem Aouar</t>
  </si>
  <si>
    <t>Hicham Boudaoui</t>
  </si>
  <si>
    <t>Nice</t>
  </si>
  <si>
    <t>Ramiz Zerrouki</t>
  </si>
  <si>
    <t>Jaouen Hadjam</t>
  </si>
  <si>
    <t>Anis Hadj Moussa</t>
  </si>
  <si>
    <t>Oussama Benbot</t>
  </si>
  <si>
    <t>Nadhir Benbouali</t>
  </si>
  <si>
    <t>Mohamed Amoura</t>
  </si>
  <si>
    <t>Wolfsburg</t>
  </si>
  <si>
    <t>Zineddine Belaïd</t>
  </si>
  <si>
    <t>Samir Chergui</t>
  </si>
  <si>
    <t>Paris FC</t>
  </si>
  <si>
    <t>Adil Boulbina</t>
  </si>
  <si>
    <t>Farés Ghedjemis</t>
  </si>
  <si>
    <t>Achref Abada</t>
  </si>
  <si>
    <t>Mohamed Amine Tougai</t>
  </si>
  <si>
    <t>Melvin Mastil</t>
  </si>
  <si>
    <t>Yassine Titraoui</t>
  </si>
  <si>
    <t>Emiliano Martínez</t>
  </si>
  <si>
    <t>Aston Villa</t>
  </si>
  <si>
    <t>Alexis Mac Allister</t>
  </si>
  <si>
    <t>Liverpool</t>
  </si>
  <si>
    <t>Lionel Messi</t>
  </si>
  <si>
    <t>Enzo Fernández</t>
  </si>
  <si>
    <t>Chelsea</t>
  </si>
  <si>
    <t>Lisandro Martínez</t>
  </si>
  <si>
    <t>Manchester Utd</t>
  </si>
  <si>
    <t>Cristian Romero</t>
  </si>
  <si>
    <t>Tottenham</t>
  </si>
  <si>
    <t>Rodrigo De Paul</t>
  </si>
  <si>
    <t>Julián Álvarez</t>
  </si>
  <si>
    <t>Atlético Madrid</t>
  </si>
  <si>
    <t>es La Liga</t>
  </si>
  <si>
    <t>Nahuel Molina</t>
  </si>
  <si>
    <t>Nicolás Tagliafico</t>
  </si>
  <si>
    <t>Lyon</t>
  </si>
  <si>
    <t>Leandro Paredes</t>
  </si>
  <si>
    <t>Lautaro Martínez</t>
  </si>
  <si>
    <t>Inter</t>
  </si>
  <si>
    <t>Facundo Medina</t>
  </si>
  <si>
    <t>Thiago Almada</t>
  </si>
  <si>
    <t>Gonzalo Montiel</t>
  </si>
  <si>
    <t>Giuliano Simeone</t>
  </si>
  <si>
    <t>Nicolás González</t>
  </si>
  <si>
    <t>Atlético Madrid / Juventus</t>
  </si>
  <si>
    <t>es La Liga / it Serie A</t>
  </si>
  <si>
    <t>Nicolás Otamendi</t>
  </si>
  <si>
    <t>Marcos Senesi</t>
  </si>
  <si>
    <t>Bournemouth</t>
  </si>
  <si>
    <t>Exequiel Palacios</t>
  </si>
  <si>
    <t>Nico Paz</t>
  </si>
  <si>
    <t>Como</t>
  </si>
  <si>
    <t>Giovani Lo Celso</t>
  </si>
  <si>
    <t>Real Betis</t>
  </si>
  <si>
    <t>Valentín Barco</t>
  </si>
  <si>
    <t>Strasbourg</t>
  </si>
  <si>
    <t>Flaco López</t>
  </si>
  <si>
    <t>Juan Musso</t>
  </si>
  <si>
    <t>Gerónimo Rulli</t>
  </si>
  <si>
    <t>Alessandro Circati</t>
  </si>
  <si>
    <t>Parma</t>
  </si>
  <si>
    <t>Harry Souttar</t>
  </si>
  <si>
    <t>Patrick Beach</t>
  </si>
  <si>
    <t>Aiden O'Neill</t>
  </si>
  <si>
    <t>Jordy Bos</t>
  </si>
  <si>
    <t>Connor Metcalfe</t>
  </si>
  <si>
    <t>St Pauli</t>
  </si>
  <si>
    <t>Nestory Irankunda</t>
  </si>
  <si>
    <t>Jackson Irvine</t>
  </si>
  <si>
    <t>Aziz Behich</t>
  </si>
  <si>
    <t>Lucas Herrington</t>
  </si>
  <si>
    <t>Paul Okon-Engstler</t>
  </si>
  <si>
    <t>Mo Touré</t>
  </si>
  <si>
    <t>Jacob Italiano</t>
  </si>
  <si>
    <t>Cristian Volpato</t>
  </si>
  <si>
    <t>Sassuolo</t>
  </si>
  <si>
    <t>Cameron Burgess</t>
  </si>
  <si>
    <t>Nishan Velupillay</t>
  </si>
  <si>
    <t>Mathew Leckie</t>
  </si>
  <si>
    <t>Ajdin Hrustic</t>
  </si>
  <si>
    <t>Kai Trewin</t>
  </si>
  <si>
    <t>Jason Geria</t>
  </si>
  <si>
    <t>Awer Mabil</t>
  </si>
  <si>
    <t>Tete Yengi</t>
  </si>
  <si>
    <t>Mathew Ryan</t>
  </si>
  <si>
    <t>Levante</t>
  </si>
  <si>
    <t>Miloš Degenek</t>
  </si>
  <si>
    <t>Cammy Devlin</t>
  </si>
  <si>
    <t>Paul Izzo</t>
  </si>
  <si>
    <t>Konrad Laimer</t>
  </si>
  <si>
    <t>Bayern Munich</t>
  </si>
  <si>
    <t>Marcel Sabitzer</t>
  </si>
  <si>
    <t>Alexander Schlager</t>
  </si>
  <si>
    <t>Stefan Posch</t>
  </si>
  <si>
    <t>Como / Mainz 05</t>
  </si>
  <si>
    <t>it Serie A / de Bundesliga</t>
  </si>
  <si>
    <t>Nicolas Seiwald</t>
  </si>
  <si>
    <t>RB Leipzig</t>
  </si>
  <si>
    <t>David Alaba</t>
  </si>
  <si>
    <t>Real Madrid</t>
  </si>
  <si>
    <t>Romano Schmid</t>
  </si>
  <si>
    <t>Werder Bremen</t>
  </si>
  <si>
    <t>Xaver Schlager</t>
  </si>
  <si>
    <t>Kevin Danso</t>
  </si>
  <si>
    <t>Paul Wanner</t>
  </si>
  <si>
    <t>Michael Gregoritsch</t>
  </si>
  <si>
    <t>Augsburg</t>
  </si>
  <si>
    <t>Philipp Lienhart</t>
  </si>
  <si>
    <t>Freiburg</t>
  </si>
  <si>
    <t>Phillipp Mwene</t>
  </si>
  <si>
    <t>Mainz 05</t>
  </si>
  <si>
    <t>Marko Arnautović</t>
  </si>
  <si>
    <t>Saša Kalajdžić</t>
  </si>
  <si>
    <t>Wolves</t>
  </si>
  <si>
    <t>Florian Grillitsch</t>
  </si>
  <si>
    <t>Carney Chukwuemeka</t>
  </si>
  <si>
    <t>Alexander Prass</t>
  </si>
  <si>
    <t>Hoffenheim</t>
  </si>
  <si>
    <t>Marco Friedl</t>
  </si>
  <si>
    <t>Patrick Wimmer</t>
  </si>
  <si>
    <t>David Affengruber</t>
  </si>
  <si>
    <t>Elche</t>
  </si>
  <si>
    <t>Dejan Ljubičić</t>
  </si>
  <si>
    <t>Patrick Pentz</t>
  </si>
  <si>
    <t>Alessandro Schöpf</t>
  </si>
  <si>
    <t>Michael Svoboda</t>
  </si>
  <si>
    <t>Florian Wiegele</t>
  </si>
  <si>
    <t>Brandon Mechele</t>
  </si>
  <si>
    <t>Thibaut Courtois</t>
  </si>
  <si>
    <t>Leandro Trossard</t>
  </si>
  <si>
    <t>Arsenal</t>
  </si>
  <si>
    <t>Timothy Castagne</t>
  </si>
  <si>
    <t>Fulham</t>
  </si>
  <si>
    <t>Youri Tielemans</t>
  </si>
  <si>
    <t>Maxim De Cuyper</t>
  </si>
  <si>
    <t>Brighton</t>
  </si>
  <si>
    <t>Kevin De Bruyne</t>
  </si>
  <si>
    <t>Napoli</t>
  </si>
  <si>
    <t>Charles De Ketelaere</t>
  </si>
  <si>
    <t>Atalanta</t>
  </si>
  <si>
    <t>Nathan Ngoy</t>
  </si>
  <si>
    <t>Jeremy Doku</t>
  </si>
  <si>
    <t>Nicolas Raskin</t>
  </si>
  <si>
    <t>Hans Vanaken</t>
  </si>
  <si>
    <t>Arthur Theate</t>
  </si>
  <si>
    <t>Thomas Meunier</t>
  </si>
  <si>
    <t>Amadou Onana</t>
  </si>
  <si>
    <t>Romelu Lukaku</t>
  </si>
  <si>
    <t>Dodi Lukebakio</t>
  </si>
  <si>
    <t>Sevilla</t>
  </si>
  <si>
    <t>Alexis Saelemaekers</t>
  </si>
  <si>
    <t>Milan</t>
  </si>
  <si>
    <t>Diego Moreira</t>
  </si>
  <si>
    <t>Matias Fernandez-Pardo</t>
  </si>
  <si>
    <t>Axel Witsel</t>
  </si>
  <si>
    <t>Girona</t>
  </si>
  <si>
    <t>Joaquin Seys</t>
  </si>
  <si>
    <t>Senne Lammens</t>
  </si>
  <si>
    <t>Koni De Winter</t>
  </si>
  <si>
    <t>Zeno Debast</t>
  </si>
  <si>
    <t>Mike Penders</t>
  </si>
  <si>
    <t>Nikola Vasilj</t>
  </si>
  <si>
    <t>Ermedin Demirović</t>
  </si>
  <si>
    <t>Stuttgart</t>
  </si>
  <si>
    <t>Sead Kolašinac</t>
  </si>
  <si>
    <t>Nikola Katić</t>
  </si>
  <si>
    <t>Kerim Alajbegović</t>
  </si>
  <si>
    <t>Amar Dedić</t>
  </si>
  <si>
    <t>Tarik Muharemovic</t>
  </si>
  <si>
    <t>Ivan Šunjić</t>
  </si>
  <si>
    <t>Edin Džeko</t>
  </si>
  <si>
    <t>Fiorentina</t>
  </si>
  <si>
    <t>Benjamin Tahirovic</t>
  </si>
  <si>
    <t>Esmir Bajraktarevic</t>
  </si>
  <si>
    <t>Amar Memić</t>
  </si>
  <si>
    <t>Stjepan Radeljić</t>
  </si>
  <si>
    <t>Ivan Bašić</t>
  </si>
  <si>
    <t>Armin Gigovic</t>
  </si>
  <si>
    <t>Jovo Lukić</t>
  </si>
  <si>
    <t>Arjan Malic</t>
  </si>
  <si>
    <t>Ermin Mahmić</t>
  </si>
  <si>
    <t>Samed Baždar</t>
  </si>
  <si>
    <t>Dennis Hadžikadunić</t>
  </si>
  <si>
    <t>Dženis Burnić</t>
  </si>
  <si>
    <t>Haris Tabaković</t>
  </si>
  <si>
    <t>Gladbach</t>
  </si>
  <si>
    <t>Amir Hadžiahmetović</t>
  </si>
  <si>
    <t>Mladen Jurkas</t>
  </si>
  <si>
    <t>Nihad Mujakić</t>
  </si>
  <si>
    <t>Martin Zlomislić</t>
  </si>
  <si>
    <t>Alisson</t>
  </si>
  <si>
    <t>Gabriel Magalhães</t>
  </si>
  <si>
    <t>Marquinhos</t>
  </si>
  <si>
    <t>Paris SG</t>
  </si>
  <si>
    <t>Douglas Santos</t>
  </si>
  <si>
    <t>Vinicius Júnior</t>
  </si>
  <si>
    <t>Bruno Guimarães</t>
  </si>
  <si>
    <t>Newcastle</t>
  </si>
  <si>
    <t>Casemiro</t>
  </si>
  <si>
    <t>Danilo</t>
  </si>
  <si>
    <t>Matheus Cunha</t>
  </si>
  <si>
    <t>Lucas Paquetá</t>
  </si>
  <si>
    <t>West Ham</t>
  </si>
  <si>
    <t>Rayan</t>
  </si>
  <si>
    <t>Raphinha</t>
  </si>
  <si>
    <t>Barcelona</t>
  </si>
  <si>
    <t>Gabriel Martinelli</t>
  </si>
  <si>
    <t>Igor Thiago</t>
  </si>
  <si>
    <t>Brentford</t>
  </si>
  <si>
    <t>Roger Ibanez</t>
  </si>
  <si>
    <t>Endrick</t>
  </si>
  <si>
    <t>Real Madrid / Lyon</t>
  </si>
  <si>
    <t>es La Liga / fr Ligue 1</t>
  </si>
  <si>
    <t>Fabinho</t>
  </si>
  <si>
    <t>Danilo Santos</t>
  </si>
  <si>
    <t>Neymar</t>
  </si>
  <si>
    <t>Luiz Henrique</t>
  </si>
  <si>
    <t>Éderson Silva</t>
  </si>
  <si>
    <t>Alex Sandro</t>
  </si>
  <si>
    <t>Gleison Bremer</t>
  </si>
  <si>
    <t>Juventus</t>
  </si>
  <si>
    <t>Ederson Moraes</t>
  </si>
  <si>
    <t>Léo Pereira</t>
  </si>
  <si>
    <t>Wéverton</t>
  </si>
  <si>
    <t>Diney</t>
  </si>
  <si>
    <t>Pico</t>
  </si>
  <si>
    <t>Vozinha</t>
  </si>
  <si>
    <t>Kevin Pina</t>
  </si>
  <si>
    <t>Ryan Mendes</t>
  </si>
  <si>
    <t>Steven Moreira</t>
  </si>
  <si>
    <t>Sidny Lopes Cabral</t>
  </si>
  <si>
    <t>Jamiro Monteiro</t>
  </si>
  <si>
    <t>Deroy Duarte</t>
  </si>
  <si>
    <t>Dailon Livramento</t>
  </si>
  <si>
    <t>Laros Duarte</t>
  </si>
  <si>
    <t>Jovane Cabral</t>
  </si>
  <si>
    <t>Nuno da Costa</t>
  </si>
  <si>
    <t>Willy Semedo</t>
  </si>
  <si>
    <t>João Paulo Fernandes</t>
  </si>
  <si>
    <t>Wagner Pina</t>
  </si>
  <si>
    <t>Gilson Benchimol</t>
  </si>
  <si>
    <t>Garry Rodrigues</t>
  </si>
  <si>
    <t>Telmo Arcanjo</t>
  </si>
  <si>
    <t>Hélio Varela</t>
  </si>
  <si>
    <t>Yannick</t>
  </si>
  <si>
    <t>Logan Costa</t>
  </si>
  <si>
    <t>Villarreal</t>
  </si>
  <si>
    <t>C.J. dos Santos</t>
  </si>
  <si>
    <t>Kelvin Pires</t>
  </si>
  <si>
    <t>Márcio Rosa</t>
  </si>
  <si>
    <t>Stopira</t>
  </si>
  <si>
    <t>Maxime Crépeau</t>
  </si>
  <si>
    <t>Alistair Johnston</t>
  </si>
  <si>
    <t>Richie Laryea</t>
  </si>
  <si>
    <t>Jonathan David</t>
  </si>
  <si>
    <t>Tajon Buchanan</t>
  </si>
  <si>
    <t>Stephen Eustáquio</t>
  </si>
  <si>
    <t>Luc De Fougerolles</t>
  </si>
  <si>
    <t>Derek Cornelius</t>
  </si>
  <si>
    <t>Tani Oluwaseyi</t>
  </si>
  <si>
    <t>Ali Ahmed</t>
  </si>
  <si>
    <t>Moïse Bombito</t>
  </si>
  <si>
    <t>Cyle Larin</t>
  </si>
  <si>
    <t>Nathan Saliba</t>
  </si>
  <si>
    <t>Liam Millar</t>
  </si>
  <si>
    <t>Ismaël Koné</t>
  </si>
  <si>
    <t>Niko Sigur</t>
  </si>
  <si>
    <t>Mathieu Choinière</t>
  </si>
  <si>
    <t>Jacob Shaffelburg</t>
  </si>
  <si>
    <t>Promise David</t>
  </si>
  <si>
    <t>Alphonso Davies</t>
  </si>
  <si>
    <t>Jonathan Osorio</t>
  </si>
  <si>
    <t>Jayden Nelson</t>
  </si>
  <si>
    <t>Owen Goodman</t>
  </si>
  <si>
    <t>Alfie Jones</t>
  </si>
  <si>
    <t>Dayne St. Clair</t>
  </si>
  <si>
    <t>Joel Waterman</t>
  </si>
  <si>
    <t>Davinson Sánchez</t>
  </si>
  <si>
    <t>Camilo Vargas</t>
  </si>
  <si>
    <t>Luis Díaz</t>
  </si>
  <si>
    <t>Jhon Lucumí</t>
  </si>
  <si>
    <t>Bologna</t>
  </si>
  <si>
    <t>Gustavo Puerta</t>
  </si>
  <si>
    <t>Jefferson Lerma</t>
  </si>
  <si>
    <t>Crystal Palace</t>
  </si>
  <si>
    <t>Jhon Arias</t>
  </si>
  <si>
    <t>James Rodríguez</t>
  </si>
  <si>
    <t>Daniel Muñoz</t>
  </si>
  <si>
    <t>Johan Mojica</t>
  </si>
  <si>
    <t>Mallorca</t>
  </si>
  <si>
    <t>Luis Suárez</t>
  </si>
  <si>
    <t>Jhon Córdoba</t>
  </si>
  <si>
    <t>Deiver Machado</t>
  </si>
  <si>
    <t>Nantes / Lens</t>
  </si>
  <si>
    <t>Santiago Arias</t>
  </si>
  <si>
    <t>Richard Ríos</t>
  </si>
  <si>
    <t>Juan Quintero</t>
  </si>
  <si>
    <t>Jaminton Campaz</t>
  </si>
  <si>
    <t>Cucho</t>
  </si>
  <si>
    <t>Kevin Castaño</t>
  </si>
  <si>
    <t>Yerry Mina</t>
  </si>
  <si>
    <t>Cagliari</t>
  </si>
  <si>
    <t>Andrés Gómez</t>
  </si>
  <si>
    <t>Juan Camilo Portilla</t>
  </si>
  <si>
    <t>Jorge Carrascal</t>
  </si>
  <si>
    <t>Álvaro David Montero</t>
  </si>
  <si>
    <t>Willer Ditta</t>
  </si>
  <si>
    <t>David Ospina</t>
  </si>
  <si>
    <t>Chancel Mbemba</t>
  </si>
  <si>
    <t>Lionel Mpasi</t>
  </si>
  <si>
    <t>Le Havre</t>
  </si>
  <si>
    <t>Axel Tuanzebe</t>
  </si>
  <si>
    <t>Burnley</t>
  </si>
  <si>
    <t>Yoane Wissa</t>
  </si>
  <si>
    <t>Aaron Wan-Bissaka</t>
  </si>
  <si>
    <t>Samuel Moutoussamy</t>
  </si>
  <si>
    <t>Arthur Masuaku</t>
  </si>
  <si>
    <t>Sunderland / Lens</t>
  </si>
  <si>
    <t>eng Premier League / fr Ligue 1</t>
  </si>
  <si>
    <t>Ngal'Ayel Mukau</t>
  </si>
  <si>
    <t>Cédric Bakambu</t>
  </si>
  <si>
    <t>Noah Sadiki</t>
  </si>
  <si>
    <t>Sunderland</t>
  </si>
  <si>
    <t>Steve Kapuadi</t>
  </si>
  <si>
    <t>Edo Kayembe</t>
  </si>
  <si>
    <t>Brian Cipenga</t>
  </si>
  <si>
    <t>Nathanaël Mbuku</t>
  </si>
  <si>
    <t>Meschak Elia</t>
  </si>
  <si>
    <t>Joris Kayembe</t>
  </si>
  <si>
    <t>Fiston Mayele</t>
  </si>
  <si>
    <t>Simon Banza</t>
  </si>
  <si>
    <t>Charles Pickel</t>
  </si>
  <si>
    <t>Espanyol</t>
  </si>
  <si>
    <t>Theo Bongonda</t>
  </si>
  <si>
    <t>Gédéon Kalulu</t>
  </si>
  <si>
    <t>Dylany Batubinsika</t>
  </si>
  <si>
    <t>Matthieu Epolo</t>
  </si>
  <si>
    <t>Timothy Fayulu</t>
  </si>
  <si>
    <t>Gaël Kakuta</t>
  </si>
  <si>
    <t>Aaron Tshibola</t>
  </si>
  <si>
    <t>Yahia Fofana</t>
  </si>
  <si>
    <t>Franck Kessié</t>
  </si>
  <si>
    <t>Yan Diomandé</t>
  </si>
  <si>
    <t>Guéla Doué</t>
  </si>
  <si>
    <t>Odilon Kossounou</t>
  </si>
  <si>
    <t>Emmanuel Agbadou</t>
  </si>
  <si>
    <t>Ghislain Konan</t>
  </si>
  <si>
    <t>Ibrahim Sangaré</t>
  </si>
  <si>
    <t>Nottingham</t>
  </si>
  <si>
    <t>Ange-Yoan Bonny</t>
  </si>
  <si>
    <t>Nicolas Pépé</t>
  </si>
  <si>
    <t>Christ Inao Oulaï</t>
  </si>
  <si>
    <t>Amad Diallo</t>
  </si>
  <si>
    <t>Wilfried Singo</t>
  </si>
  <si>
    <t>Elye Wahi</t>
  </si>
  <si>
    <t>Nice / Frankfurt</t>
  </si>
  <si>
    <t>fr Ligue 1 / de Bundesliga</t>
  </si>
  <si>
    <t>Seko Fofana</t>
  </si>
  <si>
    <t>Rennes</t>
  </si>
  <si>
    <t>Ousmane Diomande</t>
  </si>
  <si>
    <t>Christopher Opéri</t>
  </si>
  <si>
    <t>Bazoumana Touré</t>
  </si>
  <si>
    <t>Oumar Diakité</t>
  </si>
  <si>
    <t>Evann Guessand</t>
  </si>
  <si>
    <t>Crystal Palace / Aston Villa</t>
  </si>
  <si>
    <t>Simon Adingra</t>
  </si>
  <si>
    <t>Sunderland / Monaco</t>
  </si>
  <si>
    <t>Jean Seri</t>
  </si>
  <si>
    <t>Parfait Guiagon</t>
  </si>
  <si>
    <t>Mohamed Koné</t>
  </si>
  <si>
    <t>Alban Lafont</t>
  </si>
  <si>
    <t>Obite N'Dicka</t>
  </si>
  <si>
    <t>Roma</t>
  </si>
  <si>
    <t>Dominik Livaković</t>
  </si>
  <si>
    <t>Ivan Perišić</t>
  </si>
  <si>
    <t>Josip Stanišić</t>
  </si>
  <si>
    <t>Josip Šutalo</t>
  </si>
  <si>
    <t>Martin Baturina</t>
  </si>
  <si>
    <t>Luka Modrić</t>
  </si>
  <si>
    <t>Petar Sučić</t>
  </si>
  <si>
    <t>Mateo Kovačić</t>
  </si>
  <si>
    <t>Marin Pongračić</t>
  </si>
  <si>
    <t>Nikola Vlašić</t>
  </si>
  <si>
    <t>Torino</t>
  </si>
  <si>
    <t>Ante Budimir</t>
  </si>
  <si>
    <t>Osasuna</t>
  </si>
  <si>
    <t>Joško Gvardiol</t>
  </si>
  <si>
    <t>Petar Musa</t>
  </si>
  <si>
    <t>Mario Pašalić</t>
  </si>
  <si>
    <t>Marco Pašalić</t>
  </si>
  <si>
    <t>Luka Vušković</t>
  </si>
  <si>
    <t>Hamburger SV</t>
  </si>
  <si>
    <t>Igor Matanović</t>
  </si>
  <si>
    <t>Andrej Kramarić</t>
  </si>
  <si>
    <t>Luka Sučić</t>
  </si>
  <si>
    <t>Real Sociedad</t>
  </si>
  <si>
    <t>Duje Ćaleta-Car</t>
  </si>
  <si>
    <t>Martin Erlić</t>
  </si>
  <si>
    <t>Toni Fruk</t>
  </si>
  <si>
    <t>Kristijan Jakić</t>
  </si>
  <si>
    <t>Dominik Kotarski</t>
  </si>
  <si>
    <t>Nikola Moro</t>
  </si>
  <si>
    <t>Ivor Pandur</t>
  </si>
  <si>
    <t>Leandro Bacuna</t>
  </si>
  <si>
    <t>Sherel Floranus</t>
  </si>
  <si>
    <t>Armando Obispo</t>
  </si>
  <si>
    <t>Eloy Room</t>
  </si>
  <si>
    <t>Juninho Bacuna</t>
  </si>
  <si>
    <t>Tahith Chong</t>
  </si>
  <si>
    <t>Deveron Fonville</t>
  </si>
  <si>
    <t>Jürgen Locadia</t>
  </si>
  <si>
    <t>Livano Comenencia</t>
  </si>
  <si>
    <t>Joshua Brenet</t>
  </si>
  <si>
    <t>Juriën Gaari</t>
  </si>
  <si>
    <t>Riechedly Bazoer</t>
  </si>
  <si>
    <t>Sontje Hansen</t>
  </si>
  <si>
    <t>Jeremy Antonisse</t>
  </si>
  <si>
    <t>Jearl Margaritha</t>
  </si>
  <si>
    <t>Gervane Kastaneer</t>
  </si>
  <si>
    <t>Kenji Gorré</t>
  </si>
  <si>
    <t>Roshon van Eijma</t>
  </si>
  <si>
    <t>Tyrese Noslin</t>
  </si>
  <si>
    <t>Godfried Roemeratoe</t>
  </si>
  <si>
    <t>Brandley Kuwas</t>
  </si>
  <si>
    <t>Shurandy Sambo</t>
  </si>
  <si>
    <t>Tyrick Bodak</t>
  </si>
  <si>
    <t>Trevor Doornbusch</t>
  </si>
  <si>
    <t>Kevin Felida</t>
  </si>
  <si>
    <t>Ar'jany Martha</t>
  </si>
  <si>
    <t>Vladimír Coufal</t>
  </si>
  <si>
    <t>Robin Hranáč</t>
  </si>
  <si>
    <t>Matej Kovar</t>
  </si>
  <si>
    <t>Ladislav Krejčí</t>
  </si>
  <si>
    <t>Wolves / Girona</t>
  </si>
  <si>
    <t>eng Premier League / es La Liga</t>
  </si>
  <si>
    <t>Pavel Šulc</t>
  </si>
  <si>
    <t>Michal Sadílek</t>
  </si>
  <si>
    <t>Patrik Schick</t>
  </si>
  <si>
    <t>Lukáš Červ</t>
  </si>
  <si>
    <t>Adam Hložek</t>
  </si>
  <si>
    <t>Tomáš Holeš</t>
  </si>
  <si>
    <t>Alexandr Sojka</t>
  </si>
  <si>
    <t>Tomáš Souček</t>
  </si>
  <si>
    <t>Jaroslav Zelený</t>
  </si>
  <si>
    <t>Lukáš Provod</t>
  </si>
  <si>
    <t>Štěpán Chaloupek</t>
  </si>
  <si>
    <t>David Douděra</t>
  </si>
  <si>
    <t>Denis Višinský</t>
  </si>
  <si>
    <t>Vladimír Darida</t>
  </si>
  <si>
    <t>Tomáš Chorý</t>
  </si>
  <si>
    <t>David Zima</t>
  </si>
  <si>
    <t>Mojmír Chytil</t>
  </si>
  <si>
    <t>Lukáš Horníček</t>
  </si>
  <si>
    <t>David Jurásek</t>
  </si>
  <si>
    <t>Jan Kuchta</t>
  </si>
  <si>
    <t>Hugo Sochůrek</t>
  </si>
  <si>
    <t>Jindřich Staněk</t>
  </si>
  <si>
    <t>Moisés Caicedo</t>
  </si>
  <si>
    <t>Hernán Galíndez</t>
  </si>
  <si>
    <t>Willian Pacho</t>
  </si>
  <si>
    <t>Gonzalo Plata</t>
  </si>
  <si>
    <t>Pedro Vite</t>
  </si>
  <si>
    <t>Piero Hincapié</t>
  </si>
  <si>
    <t>Arsenal / Leverkusen</t>
  </si>
  <si>
    <t>eng Premier League / de Bundesliga</t>
  </si>
  <si>
    <t>John Yeboah</t>
  </si>
  <si>
    <t>Enner Valencia</t>
  </si>
  <si>
    <t>Alan Franco</t>
  </si>
  <si>
    <t>Joel Ordóñez</t>
  </si>
  <si>
    <t>Nilson Angulo</t>
  </si>
  <si>
    <t>Pervis Estupiñán</t>
  </si>
  <si>
    <t>Alan Minda</t>
  </si>
  <si>
    <t>Jordy Alcivar</t>
  </si>
  <si>
    <t>Kevin Rodríguez</t>
  </si>
  <si>
    <t>Ángelo Preciado</t>
  </si>
  <si>
    <t>Yaimar Medina</t>
  </si>
  <si>
    <t>Jackson Porozo</t>
  </si>
  <si>
    <t>Jordy Caicedo</t>
  </si>
  <si>
    <t>Kendry Páez</t>
  </si>
  <si>
    <t>Félix Torres Caicedo</t>
  </si>
  <si>
    <t>Jeremy Arévalo</t>
  </si>
  <si>
    <t>Denil Castillo</t>
  </si>
  <si>
    <t>Moisés Ramírez</t>
  </si>
  <si>
    <t>Anthony Valencia</t>
  </si>
  <si>
    <t>Gonzalo Valle</t>
  </si>
  <si>
    <t>Mohamed Hany</t>
  </si>
  <si>
    <t>Mostafa Shobeir</t>
  </si>
  <si>
    <t>Mohamed Salah</t>
  </si>
  <si>
    <t>Mostafa Ziko</t>
  </si>
  <si>
    <t>Emam Ashour</t>
  </si>
  <si>
    <t>Yasser Ibrahim</t>
  </si>
  <si>
    <t>Marwan Attia</t>
  </si>
  <si>
    <t>Mohanad Lasheen</t>
  </si>
  <si>
    <t>Ramy Rabia</t>
  </si>
  <si>
    <t>Omar Marmoush</t>
  </si>
  <si>
    <t>Ahmed Fatouh</t>
  </si>
  <si>
    <t>Hamdy Fathy</t>
  </si>
  <si>
    <t>Karim Hafez</t>
  </si>
  <si>
    <t>Trézéguet</t>
  </si>
  <si>
    <t>Haissem Hassan</t>
  </si>
  <si>
    <t>Oviedo</t>
  </si>
  <si>
    <t>Mahmoud Saber</t>
  </si>
  <si>
    <t>Mohamed Abdelmonem</t>
  </si>
  <si>
    <t>Hamza Abdelkarim</t>
  </si>
  <si>
    <t>Hossam Abdelmaguid</t>
  </si>
  <si>
    <t>Zizo</t>
  </si>
  <si>
    <t>Ibrahim Adel</t>
  </si>
  <si>
    <t>Mohamed Alaa</t>
  </si>
  <si>
    <t>Tarek Alaa</t>
  </si>
  <si>
    <t>Nabil Dunga</t>
  </si>
  <si>
    <t>El Mahdy Soliman</t>
  </si>
  <si>
    <t>Mohamed El-Shenawy</t>
  </si>
  <si>
    <t>Marc Guéhi</t>
  </si>
  <si>
    <t>Crystal Palace / Manchester City</t>
  </si>
  <si>
    <t>Jordan Pickford</t>
  </si>
  <si>
    <t>Everton</t>
  </si>
  <si>
    <t>Harry Kane</t>
  </si>
  <si>
    <t>Ezri Konsa</t>
  </si>
  <si>
    <t>Elliot Anderson</t>
  </si>
  <si>
    <t>Jude Bellingham</t>
  </si>
  <si>
    <t>Declan Rice</t>
  </si>
  <si>
    <t>Nico O'Reilly</t>
  </si>
  <si>
    <t>Anthony Gordon</t>
  </si>
  <si>
    <t>Djed Spence</t>
  </si>
  <si>
    <t>Noni Madueke</t>
  </si>
  <si>
    <t>Bukayo Saka</t>
  </si>
  <si>
    <t>Morgan Rogers</t>
  </si>
  <si>
    <t>John Stones</t>
  </si>
  <si>
    <t>Reece James</t>
  </si>
  <si>
    <t>Marcus Rashford</t>
  </si>
  <si>
    <t>Jarell Quansah</t>
  </si>
  <si>
    <t>Eberechi Eze</t>
  </si>
  <si>
    <t>Arsenal / Crystal Palace</t>
  </si>
  <si>
    <t>Dean Henderson</t>
  </si>
  <si>
    <t>Ivan Toney</t>
  </si>
  <si>
    <t>Ollie Watkins</t>
  </si>
  <si>
    <t>Dan Burn</t>
  </si>
  <si>
    <t>Jordan Henderson</t>
  </si>
  <si>
    <t>Trevoh Chalobah</t>
  </si>
  <si>
    <t>Kobbie Mainoo</t>
  </si>
  <si>
    <t>James Trafford</t>
  </si>
  <si>
    <t>Mike Maignan</t>
  </si>
  <si>
    <t>Kylian Mbappé</t>
  </si>
  <si>
    <t>Michael Olise</t>
  </si>
  <si>
    <t>Dayot Upamecano</t>
  </si>
  <si>
    <t>Jules Koundé</t>
  </si>
  <si>
    <t>Ousmane Dembélé</t>
  </si>
  <si>
    <t>Adrien Rabiot</t>
  </si>
  <si>
    <t>Marseille / Milan</t>
  </si>
  <si>
    <t>fr Ligue 1 / it Serie A</t>
  </si>
  <si>
    <t>William Saliba</t>
  </si>
  <si>
    <t>Lucas Digne</t>
  </si>
  <si>
    <t>Désiré Doué</t>
  </si>
  <si>
    <t>Manu Koné</t>
  </si>
  <si>
    <t>Bradley Barcola</t>
  </si>
  <si>
    <t>Aurélien Tchouaméni</t>
  </si>
  <si>
    <t>Theo Hernández</t>
  </si>
  <si>
    <t>Maxence Lacroix</t>
  </si>
  <si>
    <t>Rayan Cherki</t>
  </si>
  <si>
    <t>Malo Gusto</t>
  </si>
  <si>
    <t>Warren Zaïre-Emery</t>
  </si>
  <si>
    <t>Ibrahima Konaté</t>
  </si>
  <si>
    <t>Jean-Philippe Mateta</t>
  </si>
  <si>
    <t>Maghnes Akliouche</t>
  </si>
  <si>
    <t>Monaco</t>
  </si>
  <si>
    <t>Marcus Thuram</t>
  </si>
  <si>
    <t>Lucas Hernández</t>
  </si>
  <si>
    <t>N'Golo Kanté</t>
  </si>
  <si>
    <t>Robin Risser</t>
  </si>
  <si>
    <t>Lens</t>
  </si>
  <si>
    <t>Brice Samba</t>
  </si>
  <si>
    <t>Manuel Neuer</t>
  </si>
  <si>
    <t>Jonathan Tah</t>
  </si>
  <si>
    <t>Florian Wirtz</t>
  </si>
  <si>
    <t>Kai Havertz</t>
  </si>
  <si>
    <t>Joshua Kimmich</t>
  </si>
  <si>
    <t>Leroy Sané</t>
  </si>
  <si>
    <t>Aleksandar Pavlovic</t>
  </si>
  <si>
    <t>Felix Nmecha</t>
  </si>
  <si>
    <t>Nathaniel Brown</t>
  </si>
  <si>
    <t>Jamal Musiala</t>
  </si>
  <si>
    <t>Antonio Rüdiger</t>
  </si>
  <si>
    <t>Nico Schlotterbeck</t>
  </si>
  <si>
    <t>Deniz Undav</t>
  </si>
  <si>
    <t>David Raum</t>
  </si>
  <si>
    <t>Leon Goretzka</t>
  </si>
  <si>
    <t>Waldemar Anton</t>
  </si>
  <si>
    <t>Angelo Stiller</t>
  </si>
  <si>
    <t>Nadiem Amiri</t>
  </si>
  <si>
    <t>Malick Thiaw</t>
  </si>
  <si>
    <t>Nick Woltemade</t>
  </si>
  <si>
    <t>Stuttgart / Newcastle</t>
  </si>
  <si>
    <t>de Bundesliga / eng Premier League</t>
  </si>
  <si>
    <t>Jamie Leweling</t>
  </si>
  <si>
    <t>Maximilian Beier</t>
  </si>
  <si>
    <t>Pascal Groß</t>
  </si>
  <si>
    <t>Dortmund / Brighton</t>
  </si>
  <si>
    <t>Oliver Baumann</t>
  </si>
  <si>
    <t>Alexander Nübel</t>
  </si>
  <si>
    <t>Assan Ouédraogo</t>
  </si>
  <si>
    <t>Gideon Mensah</t>
  </si>
  <si>
    <t>Auxerre</t>
  </si>
  <si>
    <t>Antoine Semenyo</t>
  </si>
  <si>
    <t>Bournemouth / Manchester City</t>
  </si>
  <si>
    <t>Jordan Ayew</t>
  </si>
  <si>
    <t>Marvin Senaya</t>
  </si>
  <si>
    <t>Jerome Opoku</t>
  </si>
  <si>
    <t>Thomas Partey</t>
  </si>
  <si>
    <t>Caleb Yirenkyi</t>
  </si>
  <si>
    <t>Kwasi Sibo</t>
  </si>
  <si>
    <t>Jonas Adjetey</t>
  </si>
  <si>
    <t>Benjamin Asare</t>
  </si>
  <si>
    <t>Derrick Luckassen</t>
  </si>
  <si>
    <t>Elisha Owusu</t>
  </si>
  <si>
    <t>Lawrence Ati-Zigi</t>
  </si>
  <si>
    <t>Kamaldeen Sulemana</t>
  </si>
  <si>
    <t>Iñaki Williams</t>
  </si>
  <si>
    <t>Athletic Club</t>
  </si>
  <si>
    <t>Ernest Nuamah</t>
  </si>
  <si>
    <t>Abdul Fatawu Issahaku</t>
  </si>
  <si>
    <t>Alidu Seidu</t>
  </si>
  <si>
    <t>Brandon Thomas-Asante</t>
  </si>
  <si>
    <t>Kojo Peprah Oppong</t>
  </si>
  <si>
    <t>Prince Kwabena Adu</t>
  </si>
  <si>
    <t>Abdul Rahman Baba</t>
  </si>
  <si>
    <t>Joseph Anang</t>
  </si>
  <si>
    <t>Augustine Boakye</t>
  </si>
  <si>
    <t>Christopher Bonsu-Baah</t>
  </si>
  <si>
    <t>Abdul Mumin</t>
  </si>
  <si>
    <t>Rayo Vallecano</t>
  </si>
  <si>
    <t>Ricardo Adé</t>
  </si>
  <si>
    <t>Hannes Delcroix</t>
  </si>
  <si>
    <t>Martin Expérience</t>
  </si>
  <si>
    <t>Johny Placide</t>
  </si>
  <si>
    <t>Jean-Ricner Bellegarde</t>
  </si>
  <si>
    <t>Danley Jean-Jacques</t>
  </si>
  <si>
    <t>Ruben Providence</t>
  </si>
  <si>
    <t>Wilson Isidor</t>
  </si>
  <si>
    <t>Josué Casimir</t>
  </si>
  <si>
    <t>Jean-Kevin Duverne</t>
  </si>
  <si>
    <t>Carlens Arcus</t>
  </si>
  <si>
    <t>Angers</t>
  </si>
  <si>
    <t>Frantzdy Pierrot</t>
  </si>
  <si>
    <t>Lenny Joseph</t>
  </si>
  <si>
    <t>Louicius Deedson</t>
  </si>
  <si>
    <t>Dominique Simon</t>
  </si>
  <si>
    <t>Duckens Nazon</t>
  </si>
  <si>
    <t>Derrick Etienne</t>
  </si>
  <si>
    <t>Yassin Fortuné</t>
  </si>
  <si>
    <t>Josué Duverger</t>
  </si>
  <si>
    <t>Carl Fred Sainté</t>
  </si>
  <si>
    <t>Duke Lacroix</t>
  </si>
  <si>
    <t>Garven Metusala</t>
  </si>
  <si>
    <t>Wilguens Paugain</t>
  </si>
  <si>
    <t>Alexandre Pierre</t>
  </si>
  <si>
    <t>Woodensky Pierre</t>
  </si>
  <si>
    <t>Keeto Thermoncy</t>
  </si>
  <si>
    <t>Alireza Beiranvand</t>
  </si>
  <si>
    <t>Shoja' Khalilzadeh</t>
  </si>
  <si>
    <t>Ali Nemati</t>
  </si>
  <si>
    <t>Ramin Rezaeian</t>
  </si>
  <si>
    <t>Saeid Ezatolahi</t>
  </si>
  <si>
    <t>Mehdi Taremi</t>
  </si>
  <si>
    <t>Mohammad Mohebi</t>
  </si>
  <si>
    <t>Saman Ghoddos</t>
  </si>
  <si>
    <t>Milad Mohammadi</t>
  </si>
  <si>
    <t>Hossein Kanaanizadegan</t>
  </si>
  <si>
    <t>Ehsan Hajsafi</t>
  </si>
  <si>
    <t>Mohammad Ghorbani</t>
  </si>
  <si>
    <t>Saleh Hardani</t>
  </si>
  <si>
    <t>Shahriar Moghanlou</t>
  </si>
  <si>
    <t>Aria Yousefi</t>
  </si>
  <si>
    <t>Alireza Jahanbakhsh</t>
  </si>
  <si>
    <t>Mehdi Ghayedi</t>
  </si>
  <si>
    <t>Ali Alipour</t>
  </si>
  <si>
    <t>Mehdi Torabi</t>
  </si>
  <si>
    <t>Amirhossein Hosseinzadeh</t>
  </si>
  <si>
    <t>Rouzbeh Cheshmi</t>
  </si>
  <si>
    <t>Dennis Eckert</t>
  </si>
  <si>
    <t>Danial Eiri</t>
  </si>
  <si>
    <t>Hossein Hosseini</t>
  </si>
  <si>
    <t>Payam Niazmand</t>
  </si>
  <si>
    <t>Amirmohammad Razzaghinia</t>
  </si>
  <si>
    <t>Merchas Doski</t>
  </si>
  <si>
    <t>Akam Hashim</t>
  </si>
  <si>
    <t>Amir Al Ammari</t>
  </si>
  <si>
    <t>Ibrahim Bayesh</t>
  </si>
  <si>
    <t>Zidane Iqbal</t>
  </si>
  <si>
    <t>Ali Al Hamadi</t>
  </si>
  <si>
    <t>Hussein Ali</t>
  </si>
  <si>
    <t>Zaid Tahseen</t>
  </si>
  <si>
    <t>Ahmed Basil</t>
  </si>
  <si>
    <t>Ali Jasim</t>
  </si>
  <si>
    <t>Ahmed Qasem</t>
  </si>
  <si>
    <t>Zaid Ismail</t>
  </si>
  <si>
    <t>Ayman Hussein</t>
  </si>
  <si>
    <t>Jalal Hassan</t>
  </si>
  <si>
    <t>Frans Dhia Putros</t>
  </si>
  <si>
    <t>Rebin Sulaka</t>
  </si>
  <si>
    <t>Manaf Younis</t>
  </si>
  <si>
    <t>Marko Farji</t>
  </si>
  <si>
    <t>Ahmed Maknzi</t>
  </si>
  <si>
    <t>Ali Yousif</t>
  </si>
  <si>
    <t>Youssef Amyn</t>
  </si>
  <si>
    <t>Kevin Yakob</t>
  </si>
  <si>
    <t>Aimar Sher</t>
  </si>
  <si>
    <t>Mustafa Saadoon</t>
  </si>
  <si>
    <t>Mohanad Ali</t>
  </si>
  <si>
    <t>Fahad Talib</t>
  </si>
  <si>
    <t>Hiroki Ito</t>
  </si>
  <si>
    <t>Zion Suzuki</t>
  </si>
  <si>
    <t>Daichi Kamada</t>
  </si>
  <si>
    <t>Ayase Ueda</t>
  </si>
  <si>
    <t>Keito Nakamura</t>
  </si>
  <si>
    <t>Ritsu Doan</t>
  </si>
  <si>
    <t>Kaishū Sano</t>
  </si>
  <si>
    <t>Daizen Maeda</t>
  </si>
  <si>
    <t>Shogo Taniguchi</t>
  </si>
  <si>
    <t>Junya Itō</t>
  </si>
  <si>
    <t>Ao Tanaka</t>
  </si>
  <si>
    <t>Leeds United</t>
  </si>
  <si>
    <t>Takehiro Tomiyasu</t>
  </si>
  <si>
    <t>Ko Itakura</t>
  </si>
  <si>
    <t>Yukinari Sugawara</t>
  </si>
  <si>
    <t>Tsuyoshi Watanabe</t>
  </si>
  <si>
    <t>Ayumu Seko</t>
  </si>
  <si>
    <t>Takefusa Kubo</t>
  </si>
  <si>
    <t>Junnosuke Suzuki</t>
  </si>
  <si>
    <t>Kōki Ogawa</t>
  </si>
  <si>
    <t>Yūto Nagatomo</t>
  </si>
  <si>
    <t>Shuto Machino</t>
  </si>
  <si>
    <t>Yuito Suzuki</t>
  </si>
  <si>
    <t>Keisuke Gotō</t>
  </si>
  <si>
    <t>Kento Shiogai</t>
  </si>
  <si>
    <t>Tomoki Hayakawa</t>
  </si>
  <si>
    <t>Keisuke Ōsako</t>
  </si>
  <si>
    <t>Yazeed Abulaila</t>
  </si>
  <si>
    <t>Yazan Al-Arab</t>
  </si>
  <si>
    <t>Noor Al Rawabdeh</t>
  </si>
  <si>
    <t>Ali Olwan</t>
  </si>
  <si>
    <t>Mohannad Abu Taha</t>
  </si>
  <si>
    <t>Ihsan Haddad</t>
  </si>
  <si>
    <t>Abdallah Nasib</t>
  </si>
  <si>
    <t>Nizar Al Rashdan</t>
  </si>
  <si>
    <t>Musa Al-Taamari</t>
  </si>
  <si>
    <t>Husam Abu Dahab</t>
  </si>
  <si>
    <t>Odeh Al-Fakhouri</t>
  </si>
  <si>
    <t>Mahmoud Al-Mardi</t>
  </si>
  <si>
    <t>Mo Abualnadi</t>
  </si>
  <si>
    <t>Ali Azaizeh</t>
  </si>
  <si>
    <t>Salim Obaid</t>
  </si>
  <si>
    <t>Amer Jamous</t>
  </si>
  <si>
    <t>Saed Al-Rosan</t>
  </si>
  <si>
    <t>Mohammad Abu Hasheesh</t>
  </si>
  <si>
    <t>Mohammad Al-Dawud</t>
  </si>
  <si>
    <t>Sharara</t>
  </si>
  <si>
    <t>Rajaei Ayed</t>
  </si>
  <si>
    <t>Anas Badawi</t>
  </si>
  <si>
    <t>Nour Bani Attiah</t>
  </si>
  <si>
    <t>Abdallah Al-Fakhouri</t>
  </si>
  <si>
    <t>Ibrahim Sadeh</t>
  </si>
  <si>
    <t>Mohammad Taha</t>
  </si>
  <si>
    <t>Lee Gi-hyuk</t>
  </si>
  <si>
    <t>Lee Han-beom</t>
  </si>
  <si>
    <t>Lee Kang-in</t>
  </si>
  <si>
    <t>Kim Seung-gyu</t>
  </si>
  <si>
    <t>Hwang In-beom</t>
  </si>
  <si>
    <t>Seol Young-woo</t>
  </si>
  <si>
    <t>Kim Min-jae</t>
  </si>
  <si>
    <t>Paik Seung-ho</t>
  </si>
  <si>
    <t>Son Heung-min</t>
  </si>
  <si>
    <t>Lee Jae-sung</t>
  </si>
  <si>
    <t>Lee Tae-seok</t>
  </si>
  <si>
    <t>Oh Hyeon-gyu</t>
  </si>
  <si>
    <t>Hwang Hee-chan</t>
  </si>
  <si>
    <t>Kim Moon-hwan</t>
  </si>
  <si>
    <t>Kim Jin-gyu</t>
  </si>
  <si>
    <t>Jens Castrop</t>
  </si>
  <si>
    <t>Eom Ji-sung</t>
  </si>
  <si>
    <t>Park Jinseob</t>
  </si>
  <si>
    <t>Cho Gue-sung</t>
  </si>
  <si>
    <t>Yang Hyun-jun</t>
  </si>
  <si>
    <t>Song Bum-keun</t>
  </si>
  <si>
    <t>Lee Dong-gyeong</t>
  </si>
  <si>
    <t>Jo Hyeon-woo</t>
  </si>
  <si>
    <t>Bae Jun-ho</t>
  </si>
  <si>
    <t>Kim Tae-hyeon</t>
  </si>
  <si>
    <t>Cho Wi-je</t>
  </si>
  <si>
    <t>Raúl Rangel</t>
  </si>
  <si>
    <t>Roberto Alvarado</t>
  </si>
  <si>
    <t>Julián Quiñones</t>
  </si>
  <si>
    <t>Jesús Gallardo</t>
  </si>
  <si>
    <t>Johan Vásquez</t>
  </si>
  <si>
    <t>Genoa</t>
  </si>
  <si>
    <t>Jorge Sánchez</t>
  </si>
  <si>
    <t>Erik Lira</t>
  </si>
  <si>
    <t>Raúl Jiménez</t>
  </si>
  <si>
    <t>César Montes</t>
  </si>
  <si>
    <t>Luis Romo</t>
  </si>
  <si>
    <t>Gilberto Mora</t>
  </si>
  <si>
    <t>Edson Álvarez</t>
  </si>
  <si>
    <t>Israel Reyes</t>
  </si>
  <si>
    <t>Brian Gutiérrez</t>
  </si>
  <si>
    <t>Álvaro Fidalgo</t>
  </si>
  <si>
    <t>Mateo Chávez</t>
  </si>
  <si>
    <t>Guillermo Martínez Ayala</t>
  </si>
  <si>
    <t>Santiago Giménez</t>
  </si>
  <si>
    <t>Obed Vargas</t>
  </si>
  <si>
    <t>Orbelín Pineda</t>
  </si>
  <si>
    <t>Luis Chávez</t>
  </si>
  <si>
    <t>Armando González</t>
  </si>
  <si>
    <t>Guillermo Ochoa</t>
  </si>
  <si>
    <t>Alexis Vega</t>
  </si>
  <si>
    <t>César Huerta</t>
  </si>
  <si>
    <t>Carlos Acevedo</t>
  </si>
  <si>
    <t>Yassine Bounou</t>
  </si>
  <si>
    <t>Achraf Hakimi</t>
  </si>
  <si>
    <t>Neil El Aynaoui</t>
  </si>
  <si>
    <t>Bilal El Khannouss</t>
  </si>
  <si>
    <t>Brahim Díaz</t>
  </si>
  <si>
    <t>Noussair Mazraoui</t>
  </si>
  <si>
    <t>Issa Diop</t>
  </si>
  <si>
    <t>Azzedine Ounahi</t>
  </si>
  <si>
    <t>Ayyoub Bouaddi</t>
  </si>
  <si>
    <t>Ismael Saibari</t>
  </si>
  <si>
    <t>Chadi Riad</t>
  </si>
  <si>
    <t>Anass Salah-Eddine</t>
  </si>
  <si>
    <t>Redouane Halhal</t>
  </si>
  <si>
    <t>Chemsdine Talbi</t>
  </si>
  <si>
    <t>Sofyan Amrabat</t>
  </si>
  <si>
    <t>Ayoub El Kaabi</t>
  </si>
  <si>
    <t>Soufiane Rahimi</t>
  </si>
  <si>
    <t>Samir El Mourabet</t>
  </si>
  <si>
    <t>Gessime Yassine</t>
  </si>
  <si>
    <t>Ayoube Amaimouni</t>
  </si>
  <si>
    <t>Zakaria El Ouahdi</t>
  </si>
  <si>
    <t>Amine Sbai</t>
  </si>
  <si>
    <t>Marwane Saâdane</t>
  </si>
  <si>
    <t>Youssef Belammari</t>
  </si>
  <si>
    <t>Munir</t>
  </si>
  <si>
    <t>Ahmed Reda Tagnaouti</t>
  </si>
  <si>
    <t>Denzel Dumfries</t>
  </si>
  <si>
    <t>Jan Paul van Hecke</t>
  </si>
  <si>
    <t>Virgil van Dijk</t>
  </si>
  <si>
    <t>Bart Verbruggen</t>
  </si>
  <si>
    <t>Cody Gakpo</t>
  </si>
  <si>
    <t>Ryan Gravenberch</t>
  </si>
  <si>
    <t>Frenkie de Jong</t>
  </si>
  <si>
    <t>Micky van de Ven</t>
  </si>
  <si>
    <t>Brian Brobbey</t>
  </si>
  <si>
    <t>Tijjani Reijnders</t>
  </si>
  <si>
    <t>Donyell Malen</t>
  </si>
  <si>
    <t>Aston Villa / Roma</t>
  </si>
  <si>
    <t>eng Premier League / it Serie A</t>
  </si>
  <si>
    <t>Crysencio Summerville</t>
  </si>
  <si>
    <t>Nathan Aké</t>
  </si>
  <si>
    <t>Teun Koopmeiners</t>
  </si>
  <si>
    <t>Quinten Timber</t>
  </si>
  <si>
    <t>Memphis</t>
  </si>
  <si>
    <t>Wout Weghorst</t>
  </si>
  <si>
    <t>Jorrel Hato</t>
  </si>
  <si>
    <t>Guus Til</t>
  </si>
  <si>
    <t>Justin Kluivert</t>
  </si>
  <si>
    <t>Marten de Roon</t>
  </si>
  <si>
    <t>Noa Lang</t>
  </si>
  <si>
    <t>Mark Flekken</t>
  </si>
  <si>
    <t>Lutsharel Geertruida</t>
  </si>
  <si>
    <t>Robin Roefs</t>
  </si>
  <si>
    <t>Mats Wieffer</t>
  </si>
  <si>
    <t>Max Crocombe</t>
  </si>
  <si>
    <t>Finn Surman</t>
  </si>
  <si>
    <t>Chris Wood</t>
  </si>
  <si>
    <t>Marko Stamenic</t>
  </si>
  <si>
    <t>Elijah Just</t>
  </si>
  <si>
    <t>Joe Bell</t>
  </si>
  <si>
    <t>Tim Payne</t>
  </si>
  <si>
    <t>Liberato Cacace</t>
  </si>
  <si>
    <t>Sarpreet Singh</t>
  </si>
  <si>
    <t>Michael Boxall</t>
  </si>
  <si>
    <t>Callum McCowatt</t>
  </si>
  <si>
    <t>Tyler Bindon</t>
  </si>
  <si>
    <t>Ryan Thomas</t>
  </si>
  <si>
    <t>Ben Old</t>
  </si>
  <si>
    <t>Jesse Randall</t>
  </si>
  <si>
    <t>Francis de Vries</t>
  </si>
  <si>
    <t>Callan Elliot</t>
  </si>
  <si>
    <t>Kosta Barbarouses</t>
  </si>
  <si>
    <t>Lachlan Bayliss</t>
  </si>
  <si>
    <t>Alex Paulsen</t>
  </si>
  <si>
    <t>Nando Pijnaker</t>
  </si>
  <si>
    <t>Logan Rogerson</t>
  </si>
  <si>
    <t>Alex Rufer</t>
  </si>
  <si>
    <t>Tommy Smith</t>
  </si>
  <si>
    <t>Ben Waine</t>
  </si>
  <si>
    <t>Michael Woud</t>
  </si>
  <si>
    <t>Kristoffer Ajer</t>
  </si>
  <si>
    <t>Sander Berge</t>
  </si>
  <si>
    <t>Ørjan Nyland</t>
  </si>
  <si>
    <t>Martin Ødegaard</t>
  </si>
  <si>
    <t>Erling Haaland</t>
  </si>
  <si>
    <t>Torbjørn Heggem</t>
  </si>
  <si>
    <t>David Møller Wolfe</t>
  </si>
  <si>
    <t>Alexander Sørloth</t>
  </si>
  <si>
    <t>Patrick Berg</t>
  </si>
  <si>
    <t>Antonio Nusa</t>
  </si>
  <si>
    <t>Julian Ryerson</t>
  </si>
  <si>
    <t>Fredrik Aursnes</t>
  </si>
  <si>
    <t>Andreas Schjelderup</t>
  </si>
  <si>
    <t>Marcus Pedersen</t>
  </si>
  <si>
    <t>Oscar Bobb</t>
  </si>
  <si>
    <t>Manchester City / Fulham</t>
  </si>
  <si>
    <t>Leo Østigård</t>
  </si>
  <si>
    <t>Jørgen Strand Larsen</t>
  </si>
  <si>
    <t>Crystal Palace / Wolves</t>
  </si>
  <si>
    <t>Thelo Aasgaard</t>
  </si>
  <si>
    <t>Egil Selvik</t>
  </si>
  <si>
    <t>Henrik Falchener</t>
  </si>
  <si>
    <t>Kristian Thorstvedt</t>
  </si>
  <si>
    <t>Fredrik André Bjørkan</t>
  </si>
  <si>
    <t>Morten Thorsby</t>
  </si>
  <si>
    <t>Genoa / Cremonese</t>
  </si>
  <si>
    <t>Sondre Langås</t>
  </si>
  <si>
    <t>Jens Petter Hauge</t>
  </si>
  <si>
    <t>Sander Tangvik</t>
  </si>
  <si>
    <t>Michael Amir Murillo</t>
  </si>
  <si>
    <t>Andrés Andrade Cedeño</t>
  </si>
  <si>
    <t>José Córdoba</t>
  </si>
  <si>
    <t>Orlando Mosquera</t>
  </si>
  <si>
    <t>Carlos Harvey</t>
  </si>
  <si>
    <t>Yoel Bárcenas</t>
  </si>
  <si>
    <t>Cristian Martínez</t>
  </si>
  <si>
    <t>José Luis Rodríguez</t>
  </si>
  <si>
    <t>César Blackman</t>
  </si>
  <si>
    <t>Jiovany Ramos</t>
  </si>
  <si>
    <t>José Fajardo</t>
  </si>
  <si>
    <t>Fidel Escobar</t>
  </si>
  <si>
    <t>Jorge Gutiérrez</t>
  </si>
  <si>
    <t>Cecilio Waterman</t>
  </si>
  <si>
    <t>Tomás Rodríguez</t>
  </si>
  <si>
    <t>Azarías Londoño</t>
  </si>
  <si>
    <t>Ismael Díaz</t>
  </si>
  <si>
    <t>Erick Davis</t>
  </si>
  <si>
    <t>Alberto Quintero</t>
  </si>
  <si>
    <t>Aníbal Godoy</t>
  </si>
  <si>
    <t>Adalberto Carrasquilla</t>
  </si>
  <si>
    <t>Edgardo Fariña</t>
  </si>
  <si>
    <t>Luis Mejía</t>
  </si>
  <si>
    <t>Roderick Miller</t>
  </si>
  <si>
    <t>César Samudio</t>
  </si>
  <si>
    <t>César Yanis</t>
  </si>
  <si>
    <t>Andrés Cubas</t>
  </si>
  <si>
    <t>Orlando Gill</t>
  </si>
  <si>
    <t>Gustavo Gómez</t>
  </si>
  <si>
    <t>Juan Cáceres</t>
  </si>
  <si>
    <t>Julio Enciso</t>
  </si>
  <si>
    <t>Júnior Alonso</t>
  </si>
  <si>
    <t>Matías Galarza</t>
  </si>
  <si>
    <t>Omar Alderete</t>
  </si>
  <si>
    <t>Diego Gómez</t>
  </si>
  <si>
    <t>Miguel Almirón</t>
  </si>
  <si>
    <t>Gustavo Velásquez</t>
  </si>
  <si>
    <t>Damián Bobadilla</t>
  </si>
  <si>
    <t>Gabriel Ávalos</t>
  </si>
  <si>
    <t>José Canale</t>
  </si>
  <si>
    <t>Antonio Sanabria</t>
  </si>
  <si>
    <t>Cremonese</t>
  </si>
  <si>
    <t>Alexandro Maidana</t>
  </si>
  <si>
    <t>Isidro Pitta</t>
  </si>
  <si>
    <t>Mauricio</t>
  </si>
  <si>
    <t>Gustavo Caballero</t>
  </si>
  <si>
    <t>Álex Arce</t>
  </si>
  <si>
    <t>Braian Ojeda</t>
  </si>
  <si>
    <t>Ramón Sosa</t>
  </si>
  <si>
    <t>Kaku</t>
  </si>
  <si>
    <t>Fabián Balbuena</t>
  </si>
  <si>
    <t>Gatito Fernández</t>
  </si>
  <si>
    <t>Gastón Olveira</t>
  </si>
  <si>
    <t>Diogo Costa</t>
  </si>
  <si>
    <t>Renato Veiga</t>
  </si>
  <si>
    <t>Cristiano Ronaldo</t>
  </si>
  <si>
    <t>Bruno Fernandes</t>
  </si>
  <si>
    <t>Nuno Mendes</t>
  </si>
  <si>
    <t>Vitinha</t>
  </si>
  <si>
    <t>Pedro Neto</t>
  </si>
  <si>
    <t>João Cancelo</t>
  </si>
  <si>
    <t>João Neves</t>
  </si>
  <si>
    <t>Rúben Dias</t>
  </si>
  <si>
    <t>João Félix</t>
  </si>
  <si>
    <t>Rafael Leão</t>
  </si>
  <si>
    <t>Bernardo Silva</t>
  </si>
  <si>
    <t>Tomás Araújo</t>
  </si>
  <si>
    <t>Rúben Neves</t>
  </si>
  <si>
    <t>Nélson Semedo</t>
  </si>
  <si>
    <t>Francisco Conceição</t>
  </si>
  <si>
    <t>Diogo Dalot</t>
  </si>
  <si>
    <t>Gonçalo Ramos</t>
  </si>
  <si>
    <t>Francisco Trincão</t>
  </si>
  <si>
    <t>Samu Costa</t>
  </si>
  <si>
    <t>Matheus Nunes</t>
  </si>
  <si>
    <t>Gonçalo Guedes</t>
  </si>
  <si>
    <t>Gonçalo Inácio</t>
  </si>
  <si>
    <t>José Sá</t>
  </si>
  <si>
    <t>Rui Silva</t>
  </si>
  <si>
    <t>Mahmoud Abunada</t>
  </si>
  <si>
    <t>Boualem Khoukhi</t>
  </si>
  <si>
    <t>Issa Laye</t>
  </si>
  <si>
    <t>Ró-Ró</t>
  </si>
  <si>
    <t>Akram Afif</t>
  </si>
  <si>
    <t>Edmilson Junior</t>
  </si>
  <si>
    <t>Jassem Gaber</t>
  </si>
  <si>
    <t>Ayoub Al-Oui</t>
  </si>
  <si>
    <t>Assim Madibo</t>
  </si>
  <si>
    <t>Homam Ahmed</t>
  </si>
  <si>
    <t>Yusuf Abdurisag</t>
  </si>
  <si>
    <t>Ahmed Fathy</t>
  </si>
  <si>
    <t>Sultan Al-Brake</t>
  </si>
  <si>
    <t>Karim Boudiaf</t>
  </si>
  <si>
    <t>Hassan Al-Haydos</t>
  </si>
  <si>
    <t>Mohamed Manai</t>
  </si>
  <si>
    <t>Abdulaziz Hatem</t>
  </si>
  <si>
    <t>AhmedAlaaeldin</t>
  </si>
  <si>
    <t>Ahmed Al-Ganehi</t>
  </si>
  <si>
    <t>Al-Hashmi Al-Hussain</t>
  </si>
  <si>
    <t>Almoez Ali</t>
  </si>
  <si>
    <t>Lucas Mendes</t>
  </si>
  <si>
    <t>Meshaal Barsham</t>
  </si>
  <si>
    <t>Tahsin Jamshid</t>
  </si>
  <si>
    <t>Mohammed Muntari</t>
  </si>
  <si>
    <t>Salah Zakaria</t>
  </si>
  <si>
    <t>Mohammed Al-Owais</t>
  </si>
  <si>
    <t>Saud Abdulhamid</t>
  </si>
  <si>
    <t>Salem Al-Dawsari</t>
  </si>
  <si>
    <t>Abdulelah Al-Amri</t>
  </si>
  <si>
    <t>Firas Al-Buraikan</t>
  </si>
  <si>
    <t>Hassan Al Tambakti</t>
  </si>
  <si>
    <t>Abdullah Al-Khaibari</t>
  </si>
  <si>
    <t>Mohamed Kanno</t>
  </si>
  <si>
    <t>Nasser Al-Dawsari</t>
  </si>
  <si>
    <t>Moteb Al-Harbi</t>
  </si>
  <si>
    <t>Musab Al Juwayr</t>
  </si>
  <si>
    <t>Ali Lajami</t>
  </si>
  <si>
    <t>Mohammed Abu Al-Shamat</t>
  </si>
  <si>
    <t>Nawaf Boushal</t>
  </si>
  <si>
    <t>Sultan Mendash</t>
  </si>
  <si>
    <t>Abdullah Al-Hamdan</t>
  </si>
  <si>
    <t>Alaa Al Hejji</t>
  </si>
  <si>
    <t>Khalid Al Ghannam</t>
  </si>
  <si>
    <t>Nawaf Al Aqidi</t>
  </si>
  <si>
    <t>Ziyad Al Johani</t>
  </si>
  <si>
    <t>Hassan Kadesh</t>
  </si>
  <si>
    <t>Ahmed Al-Kassar</t>
  </si>
  <si>
    <t>Ali Majrashi</t>
  </si>
  <si>
    <t>Saleh Al-Shehri</t>
  </si>
  <si>
    <t>Jehad Thakri</t>
  </si>
  <si>
    <t>Ayman Yahya</t>
  </si>
  <si>
    <t>Lewis Ferguson</t>
  </si>
  <si>
    <t>Angus Gunn</t>
  </si>
  <si>
    <t>Jack Hendry</t>
  </si>
  <si>
    <t>Scott McTominay</t>
  </si>
  <si>
    <t>John McGinn</t>
  </si>
  <si>
    <t>Andy Robertson</t>
  </si>
  <si>
    <t>Ben Gannon-Doak</t>
  </si>
  <si>
    <t>Nathan Patterson</t>
  </si>
  <si>
    <t>Grant Hanley</t>
  </si>
  <si>
    <t>Lawrence Shankland</t>
  </si>
  <si>
    <t>Ché Adams</t>
  </si>
  <si>
    <t>Kenny McLean</t>
  </si>
  <si>
    <t>Kieran Tierney</t>
  </si>
  <si>
    <t>Ryan Christie</t>
  </si>
  <si>
    <t>Scott McKenna</t>
  </si>
  <si>
    <t>Aaron Hickey</t>
  </si>
  <si>
    <t>Lyndon Dykes</t>
  </si>
  <si>
    <t>Anthony Ralston</t>
  </si>
  <si>
    <t>Findlay Curtis</t>
  </si>
  <si>
    <t>Ross Stewart</t>
  </si>
  <si>
    <t>Tyler Fletcher</t>
  </si>
  <si>
    <t>Craig Gordon</t>
  </si>
  <si>
    <t>George Hirst</t>
  </si>
  <si>
    <t>Dominic Hyam</t>
  </si>
  <si>
    <t>Liam Kelly</t>
  </si>
  <si>
    <t>John Souttar</t>
  </si>
  <si>
    <t>Krépin Diatta</t>
  </si>
  <si>
    <t>Moussa Niakhaté</t>
  </si>
  <si>
    <t>Ismaila Sarr</t>
  </si>
  <si>
    <t>Sadio Mané</t>
  </si>
  <si>
    <t>Idrissa Gueye</t>
  </si>
  <si>
    <t>Lamine Camara</t>
  </si>
  <si>
    <t>Pape Gueye</t>
  </si>
  <si>
    <t>Mory Diaw</t>
  </si>
  <si>
    <t>Nicolas Jackson</t>
  </si>
  <si>
    <t>Ismail Jakobs</t>
  </si>
  <si>
    <t>El Hadji Malick Diouf</t>
  </si>
  <si>
    <t>Kalidou Koulibaly</t>
  </si>
  <si>
    <t>Édouard Mendy</t>
  </si>
  <si>
    <t>Habib Diarra</t>
  </si>
  <si>
    <t>Pathé Ciss</t>
  </si>
  <si>
    <t>Ibrahim Mbaye</t>
  </si>
  <si>
    <t>Iliman Ndiaye</t>
  </si>
  <si>
    <t>Abdoulaye Seck</t>
  </si>
  <si>
    <t>Pape Matar Sarr</t>
  </si>
  <si>
    <t>Bara Sapoko Ndiaye</t>
  </si>
  <si>
    <t>Assane Diao</t>
  </si>
  <si>
    <t>Bamba Dieng</t>
  </si>
  <si>
    <t>Lorient</t>
  </si>
  <si>
    <t>Yehvann Diouf</t>
  </si>
  <si>
    <t>Antoine Mendy</t>
  </si>
  <si>
    <t>Cherif Ndiaye</t>
  </si>
  <si>
    <t>Mamadou Sarr</t>
  </si>
  <si>
    <t>Strasbourg / Chelsea</t>
  </si>
  <si>
    <t>fr Ligue 1 / eng Premier League</t>
  </si>
  <si>
    <t>Mbekezeli Mbokazi</t>
  </si>
  <si>
    <t>Khuliso Mudau</t>
  </si>
  <si>
    <t>Ime Okon</t>
  </si>
  <si>
    <t>Ronwen Williams</t>
  </si>
  <si>
    <t>Aubrey Modiba</t>
  </si>
  <si>
    <t>Teboho Mokoena</t>
  </si>
  <si>
    <t>Oswin Appollis</t>
  </si>
  <si>
    <t>Thapelo Maseko</t>
  </si>
  <si>
    <t>Sphephelo Sithole</t>
  </si>
  <si>
    <t>Thalente Mbatha</t>
  </si>
  <si>
    <t>Evidence Makgopa</t>
  </si>
  <si>
    <t>Relebohile Mofokeng</t>
  </si>
  <si>
    <t>Iqraam Rayners</t>
  </si>
  <si>
    <t>Jayden Adams</t>
  </si>
  <si>
    <t>Nkosinathi Sibisi</t>
  </si>
  <si>
    <t>Lyle Foster</t>
  </si>
  <si>
    <t>Tshepang Moremi</t>
  </si>
  <si>
    <t>Themba Zwane</t>
  </si>
  <si>
    <t>Kamogelo Sebelebele</t>
  </si>
  <si>
    <t>Sipho Chaine</t>
  </si>
  <si>
    <t>Bradley Cross</t>
  </si>
  <si>
    <t>Ricardo Goss</t>
  </si>
  <si>
    <t>Samukele Kabini</t>
  </si>
  <si>
    <t>Olwethu Makhanya</t>
  </si>
  <si>
    <t>Thabang Matuludi</t>
  </si>
  <si>
    <t>Khulumani Ndamane</t>
  </si>
  <si>
    <t>Pau Cubarsí</t>
  </si>
  <si>
    <t>Marc Cucurella</t>
  </si>
  <si>
    <t>Unai Simón</t>
  </si>
  <si>
    <t>Aymeric Laporte</t>
  </si>
  <si>
    <t>Rodri</t>
  </si>
  <si>
    <t>Mikel Oyarzabal</t>
  </si>
  <si>
    <t>Lamine Yamal</t>
  </si>
  <si>
    <t>Álex Baena</t>
  </si>
  <si>
    <t>Pedro Porro</t>
  </si>
  <si>
    <t>Dani Olmo</t>
  </si>
  <si>
    <t>Pedri</t>
  </si>
  <si>
    <t>Fabián Ruiz Peña</t>
  </si>
  <si>
    <t>Marcos Llorente</t>
  </si>
  <si>
    <t>Ferran Torres</t>
  </si>
  <si>
    <t>Mikel Merino</t>
  </si>
  <si>
    <t>Gavi</t>
  </si>
  <si>
    <t>Nico Williams</t>
  </si>
  <si>
    <t>Yéremy Pino</t>
  </si>
  <si>
    <t>Villarreal / Crystal Palace</t>
  </si>
  <si>
    <t>es La Liga / eng Premier League</t>
  </si>
  <si>
    <t>Eric García</t>
  </si>
  <si>
    <t>Martín Zubimendi</t>
  </si>
  <si>
    <t>Borja Iglesias</t>
  </si>
  <si>
    <t>Celta Vigo</t>
  </si>
  <si>
    <t>Marc Pubill</t>
  </si>
  <si>
    <t>Joan García</t>
  </si>
  <si>
    <t>Álex Grimaldo</t>
  </si>
  <si>
    <t>Víctor Muñoz</t>
  </si>
  <si>
    <t>David Raya</t>
  </si>
  <si>
    <t>Viktor Gyökeres</t>
  </si>
  <si>
    <t>Gustaf Lagerbielke</t>
  </si>
  <si>
    <t>Alexander Isak</t>
  </si>
  <si>
    <t>Victor Lindelöf</t>
  </si>
  <si>
    <t>Yasin Ayari</t>
  </si>
  <si>
    <t>Gabriel Gudmundsson</t>
  </si>
  <si>
    <t>Alexander Bernhardsson</t>
  </si>
  <si>
    <t>Isak Hien</t>
  </si>
  <si>
    <t>Anthony Elanga</t>
  </si>
  <si>
    <t>Kristoffer Nordfeldt</t>
  </si>
  <si>
    <t>Jacob Widell Zetterström</t>
  </si>
  <si>
    <t>Elliot Stroud</t>
  </si>
  <si>
    <t>Jesper Karlström</t>
  </si>
  <si>
    <t>Udinese</t>
  </si>
  <si>
    <t>Benjamin Nygren</t>
  </si>
  <si>
    <t>Lucas Bergvall</t>
  </si>
  <si>
    <t>Daniel Svensson</t>
  </si>
  <si>
    <t>Besfort Zeneli</t>
  </si>
  <si>
    <t>Taha Ali</t>
  </si>
  <si>
    <t>Ken Sema</t>
  </si>
  <si>
    <t>Mattias Svanberg</t>
  </si>
  <si>
    <t>Carl Starfelt</t>
  </si>
  <si>
    <t>Gustaf Nilsson</t>
  </si>
  <si>
    <t>Hjalmar Ekdal</t>
  </si>
  <si>
    <t>Herman Johansson</t>
  </si>
  <si>
    <t>Viktor Johansson</t>
  </si>
  <si>
    <t>Eric Smith</t>
  </si>
  <si>
    <t>Manuel Akanji</t>
  </si>
  <si>
    <t>Nico Elvedi</t>
  </si>
  <si>
    <t>Gregor Kobel</t>
  </si>
  <si>
    <t>Granit Xhaka</t>
  </si>
  <si>
    <t>Remo Freuler</t>
  </si>
  <si>
    <t>Ricardo Rodríguez</t>
  </si>
  <si>
    <t>Breel Embolo</t>
  </si>
  <si>
    <t>Dan Ndoye</t>
  </si>
  <si>
    <t>Denis Zakaria</t>
  </si>
  <si>
    <t>Fabian Rieder</t>
  </si>
  <si>
    <t>Augsburg / Rennes</t>
  </si>
  <si>
    <t>de Bundesliga / fr Ligue 1</t>
  </si>
  <si>
    <t>Ruben Vargas</t>
  </si>
  <si>
    <t>Djibril Sow</t>
  </si>
  <si>
    <t>Johan Manzambi</t>
  </si>
  <si>
    <t>Michel Aebischer</t>
  </si>
  <si>
    <t>Pisa</t>
  </si>
  <si>
    <t>Silvan Widmer</t>
  </si>
  <si>
    <t>Luca Jaquez</t>
  </si>
  <si>
    <t>Ardon Jashari</t>
  </si>
  <si>
    <t>Miro Muheim</t>
  </si>
  <si>
    <t>Zeki Amdouni</t>
  </si>
  <si>
    <t>Cedric Itten</t>
  </si>
  <si>
    <t>Eray Cömert</t>
  </si>
  <si>
    <t>Valencia</t>
  </si>
  <si>
    <t>Noah Okafor</t>
  </si>
  <si>
    <t>Christian Fassnacht</t>
  </si>
  <si>
    <t>Aurèle Amenda</t>
  </si>
  <si>
    <t>Marvin Keller</t>
  </si>
  <si>
    <t>Yvon Mvogo</t>
  </si>
  <si>
    <t>Hannibal Mejbri</t>
  </si>
  <si>
    <t>Montassar Talbi</t>
  </si>
  <si>
    <t>Ali Abdi</t>
  </si>
  <si>
    <t>Yan Valery</t>
  </si>
  <si>
    <t>Ellyes Skhiri</t>
  </si>
  <si>
    <t>Anis Ben Slimane</t>
  </si>
  <si>
    <t>Mohamed Amine Ben Hamida</t>
  </si>
  <si>
    <t>Aymen Dahmen</t>
  </si>
  <si>
    <t>Omar Rekik</t>
  </si>
  <si>
    <t>Rani Khedira</t>
  </si>
  <si>
    <t>Union Berlin</t>
  </si>
  <si>
    <t>Elias Saad</t>
  </si>
  <si>
    <t>Ismaël Gharbi</t>
  </si>
  <si>
    <t>Mouhib Chamakh</t>
  </si>
  <si>
    <t>Hazem Mastouri</t>
  </si>
  <si>
    <t>Sebastian Tounekti</t>
  </si>
  <si>
    <t>Dylan Bronn</t>
  </si>
  <si>
    <t>Firas Chaouat</t>
  </si>
  <si>
    <t>Elias Achouri</t>
  </si>
  <si>
    <t>Hadj Mahmoud</t>
  </si>
  <si>
    <t>Mortadha Ben Ouanes</t>
  </si>
  <si>
    <t>Adem Arous</t>
  </si>
  <si>
    <t>Khalil Ayari</t>
  </si>
  <si>
    <t>Sabri Ben Hassen</t>
  </si>
  <si>
    <t>Raed Chikhaoui</t>
  </si>
  <si>
    <t>Rayan Elloumi</t>
  </si>
  <si>
    <t>Moutaz Neffati</t>
  </si>
  <si>
    <t>Uğurcan Çakır</t>
  </si>
  <si>
    <t>Arda Güler</t>
  </si>
  <si>
    <t>Abdülkerim Bardakcı</t>
  </si>
  <si>
    <t>Kenan Yıldız</t>
  </si>
  <si>
    <t>Hakan Çalhanoğlu</t>
  </si>
  <si>
    <t>Merih Demiral</t>
  </si>
  <si>
    <t>Barış Alper Yılmaz</t>
  </si>
  <si>
    <t>Zeki Çelik</t>
  </si>
  <si>
    <t>Ferdi Kadioglu</t>
  </si>
  <si>
    <t>Orkun Kökçü</t>
  </si>
  <si>
    <t>İsmail Yüksek</t>
  </si>
  <si>
    <t>Kerem Aktürkoğlu</t>
  </si>
  <si>
    <t>Eren Elmalı</t>
  </si>
  <si>
    <t>Mert Müldür</t>
  </si>
  <si>
    <t>Salih Özcan</t>
  </si>
  <si>
    <t>Ozan Kabak</t>
  </si>
  <si>
    <t>Oğuz Aydın</t>
  </si>
  <si>
    <t>Yunus Akgün</t>
  </si>
  <si>
    <t>Can Uzun</t>
  </si>
  <si>
    <t>Deniz Gül</t>
  </si>
  <si>
    <t>Çağlar Söyüncü</t>
  </si>
  <si>
    <t>Kaan Ayhan</t>
  </si>
  <si>
    <t>İrfan Can Kahveci</t>
  </si>
  <si>
    <t>Samet Akaydın</t>
  </si>
  <si>
    <t>Altay Bayındır</t>
  </si>
  <si>
    <t>Mert Günok</t>
  </si>
  <si>
    <t>Rodrigo Bentancur</t>
  </si>
  <si>
    <t>Sebastián Cáceres</t>
  </si>
  <si>
    <t>Mathías Olivera</t>
  </si>
  <si>
    <t>Guillermo Varela</t>
  </si>
  <si>
    <t>Maxi Araújo</t>
  </si>
  <si>
    <t>Federico Valverde</t>
  </si>
  <si>
    <t>Fernando Muslera</t>
  </si>
  <si>
    <t>Manuel Ugarte</t>
  </si>
  <si>
    <t>Agustín Canobbio</t>
  </si>
  <si>
    <t>Juan Manuel Sanabria</t>
  </si>
  <si>
    <t>Federico Viñas</t>
  </si>
  <si>
    <t>Darwin Núñez</t>
  </si>
  <si>
    <t>Matías Viña</t>
  </si>
  <si>
    <t>Nicolás De La Cruz</t>
  </si>
  <si>
    <t>Sergio Rochet</t>
  </si>
  <si>
    <t>Brian Rodríguez</t>
  </si>
  <si>
    <t>Rodrigo Aguirre</t>
  </si>
  <si>
    <t>Ronald Araújo</t>
  </si>
  <si>
    <t>Giorgian de Arrascaeta</t>
  </si>
  <si>
    <t>Santiago Bueno</t>
  </si>
  <si>
    <t>José María Giménez</t>
  </si>
  <si>
    <t>Santiago Mele</t>
  </si>
  <si>
    <t>Facundo Pellistri</t>
  </si>
  <si>
    <t>Joaquín Piquerez</t>
  </si>
  <si>
    <t>Rodrigo Zalazar</t>
  </si>
  <si>
    <t>Weston McKennie</t>
  </si>
  <si>
    <t>Alex Freeman</t>
  </si>
  <si>
    <t>Matt Freese</t>
  </si>
  <si>
    <t>Tim Ream</t>
  </si>
  <si>
    <t>Chris Richards</t>
  </si>
  <si>
    <t>Malik Tillman</t>
  </si>
  <si>
    <t>Antonee Robinson</t>
  </si>
  <si>
    <t>Tyler Adams</t>
  </si>
  <si>
    <t>Folarin Balogun</t>
  </si>
  <si>
    <t>Sergiño Dest</t>
  </si>
  <si>
    <t>Christian Pulisic</t>
  </si>
  <si>
    <t>Ricardo Pepi</t>
  </si>
  <si>
    <t>Sebastian Berhalter</t>
  </si>
  <si>
    <t>Gio Reyna</t>
  </si>
  <si>
    <t>Auston Trusty</t>
  </si>
  <si>
    <t>Mark McKenzie</t>
  </si>
  <si>
    <t>Toulouse</t>
  </si>
  <si>
    <t>Miles Robinson</t>
  </si>
  <si>
    <t>Matt Turner</t>
  </si>
  <si>
    <t>Joe Scally</t>
  </si>
  <si>
    <t>Brenden Aaronson</t>
  </si>
  <si>
    <t>Timothy Weah</t>
  </si>
  <si>
    <t>Alejandro Zendejas</t>
  </si>
  <si>
    <t>Haji Wright</t>
  </si>
  <si>
    <t>Max Arfsten</t>
  </si>
  <si>
    <t>Chris Brady</t>
  </si>
  <si>
    <t>Cristian Roldan</t>
  </si>
  <si>
    <t>Abdukodir Khusanov</t>
  </si>
  <si>
    <t>Eldor Shomurodov</t>
  </si>
  <si>
    <t>Rustam Ashurmatov</t>
  </si>
  <si>
    <t>Otabek Shukurov</t>
  </si>
  <si>
    <t>Abbosbek Fayzullayev</t>
  </si>
  <si>
    <t>Sherzod Nasrullaev</t>
  </si>
  <si>
    <t>Akmal Mozgovoy</t>
  </si>
  <si>
    <t>Abdulla Abdullaev</t>
  </si>
  <si>
    <t>Abduvohid Nematov</t>
  </si>
  <si>
    <t>Bekhruz Karimov</t>
  </si>
  <si>
    <t>Khojiakbar Alijonov</t>
  </si>
  <si>
    <t>Aziz Gʻaniyev</t>
  </si>
  <si>
    <t>Dostonbek Khamdamov</t>
  </si>
  <si>
    <t>Jakhongir Urozov</t>
  </si>
  <si>
    <t>Utkir Yusupov</t>
  </si>
  <si>
    <t>Odiljon Hamrobekov</t>
  </si>
  <si>
    <t>Oston Urunov</t>
  </si>
  <si>
    <t>Farrukh Sayfiev</t>
  </si>
  <si>
    <t>Igor Sergeev</t>
  </si>
  <si>
    <t>Azizbek Amonov</t>
  </si>
  <si>
    <t>Jamshid Iskanderov</t>
  </si>
  <si>
    <t>Sherzod Esanov</t>
  </si>
  <si>
    <t>Ruslanbek Jiyanov</t>
  </si>
  <si>
    <t>Botirali Ergashev</t>
  </si>
  <si>
    <t>Umar Eshmurodov</t>
  </si>
  <si>
    <t>Avazbek Ulmasaliev</t>
  </si>
  <si>
    <t>x</t>
  </si>
  <si>
    <t>Player</t>
  </si>
  <si>
    <t>Position</t>
  </si>
  <si>
    <t>Club</t>
  </si>
  <si>
    <t>League</t>
  </si>
  <si>
    <t>League_minutes</t>
  </si>
  <si>
    <t>Non_penalty_goals</t>
  </si>
  <si>
    <t>Assists</t>
  </si>
  <si>
    <t>Champions_league_minutes</t>
  </si>
  <si>
    <t>League_weight</t>
  </si>
  <si>
    <t>League_adjusted_attacking_output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</si>
</sst>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0;[Red]0"/>
    <numFmt numFmtId="166" formatCode="yyyy/mm/dd;@"/>
  </numFmts>
  <fonts count="5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4"/>
      <color rgb="FF000000"/>
      <name val="-webkit-standard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rgb="FF949698"/>
      </right>
      <top/>
      <bottom/>
      <diagonal/>
    </border>
    <border>
      <left style="medium">
        <color rgb="FF949698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" fontId="0" fillId="0" borderId="0" xfId="0" applyNumberFormat="1"/>
    <xf numFmtId="14" fontId="1" fillId="0" borderId="0" xfId="0" applyNumberFormat="1" applyFont="1" applyAlignment="1">
      <alignment wrapText="1"/>
    </xf>
    <xf numFmtId="164" fontId="0" fillId="0" borderId="0" xfId="0" applyNumberFormat="1"/>
    <xf numFmtId="164" fontId="1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165" fontId="0" fillId="0" borderId="0" xfId="0" applyNumberFormat="1"/>
    <xf numFmtId="3" fontId="1" fillId="0" borderId="0" xfId="0" applyNumberFormat="1" applyFont="1" applyAlignment="1">
      <alignment wrapText="1"/>
    </xf>
    <xf numFmtId="0" fontId="0" fillId="0" borderId="0" xfId="0" applyAlignment="1">
      <alignment wrapText="1"/>
    </xf>
    <xf numFmtId="2" fontId="0" fillId="0" borderId="0" xfId="0" applyNumberFormat="1"/>
    <xf numFmtId="0" fontId="3" fillId="0" borderId="0" xfId="0" applyFont="1"/>
    <xf numFmtId="0" fontId="4" fillId="0" borderId="0" xfId="0" applyFont="1"/>
    <xf numFmtId="2" fontId="4" fillId="0" borderId="0" xfId="0" applyNumberFormat="1" applyFont="1"/>
    <xf numFmtId="166" fontId="0" fillId="0" borderId="0" xfId="0" applyNumberFormat="1"/>
    <xf numFmtId="0" fontId="2" fillId="0" borderId="0" xfId="0" applyFont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85CE3-DC3A-6E4D-B20B-171911A7CE44}">
  <dimension ref="A1:J106"/>
  <sheetViews>
    <sheetView zoomScaleNormal="100" workbookViewId="0">
      <pane ySplit="1" topLeftCell="A2" activePane="bottomLeft" state="frozen"/>
      <selection pane="bottomLeft" activeCell="E4" sqref="E4"/>
    </sheetView>
  </sheetViews>
  <sheetFormatPr baseColWidth="10" defaultRowHeight="16"/>
  <cols>
    <col min="2" max="2" width="10.83203125" style="3"/>
    <col min="4" max="4" width="9.6640625" customWidth="1"/>
    <col min="9" max="9" width="10.83203125" style="8"/>
  </cols>
  <sheetData>
    <row r="1" spans="1:10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s="8" t="s">
        <v>8</v>
      </c>
      <c r="J1" t="s">
        <v>11</v>
      </c>
    </row>
    <row r="2" spans="1:10">
      <c r="A2">
        <v>1</v>
      </c>
      <c r="B2" s="4">
        <v>46184</v>
      </c>
      <c r="C2" s="7" t="s">
        <v>108</v>
      </c>
      <c r="D2" s="5" t="s">
        <v>115</v>
      </c>
      <c r="E2" s="6" t="s">
        <v>152</v>
      </c>
      <c r="F2">
        <v>2</v>
      </c>
      <c r="G2">
        <v>0</v>
      </c>
      <c r="H2" t="s">
        <v>162</v>
      </c>
      <c r="I2" s="8">
        <f>IF(OR(F2="",G2=""),"",F2-G2)</f>
        <v>2</v>
      </c>
      <c r="J2">
        <f>IF(TRIM(C2)="Group stage",0,1)</f>
        <v>0</v>
      </c>
    </row>
    <row r="3" spans="1:10" ht="30">
      <c r="A3">
        <v>2</v>
      </c>
      <c r="B3" s="4">
        <v>46184</v>
      </c>
      <c r="C3" s="7" t="s">
        <v>108</v>
      </c>
      <c r="D3" s="5" t="s">
        <v>116</v>
      </c>
      <c r="E3" s="6" t="s">
        <v>139</v>
      </c>
      <c r="F3">
        <v>2</v>
      </c>
      <c r="G3">
        <v>1</v>
      </c>
      <c r="H3" t="s">
        <v>162</v>
      </c>
      <c r="I3" s="8">
        <f t="shared" ref="I3:I52" si="0">IF(OR(F3="",G3=""),"",F3-G3)</f>
        <v>1</v>
      </c>
      <c r="J3">
        <f t="shared" ref="J3:J66" si="1">IF(TRIM(C3)="Group stage",0,1)</f>
        <v>0</v>
      </c>
    </row>
    <row r="4" spans="1:10" ht="30">
      <c r="A4">
        <v>3</v>
      </c>
      <c r="B4" s="4">
        <v>46185</v>
      </c>
      <c r="C4" s="7" t="s">
        <v>108</v>
      </c>
      <c r="D4" s="6" t="s">
        <v>117</v>
      </c>
      <c r="E4" s="6" t="s">
        <v>349</v>
      </c>
      <c r="F4">
        <v>1</v>
      </c>
      <c r="G4">
        <v>1</v>
      </c>
      <c r="H4" t="s">
        <v>162</v>
      </c>
      <c r="I4" s="8">
        <f t="shared" si="0"/>
        <v>0</v>
      </c>
      <c r="J4">
        <f t="shared" si="1"/>
        <v>0</v>
      </c>
    </row>
    <row r="5" spans="1:10">
      <c r="A5">
        <v>4</v>
      </c>
      <c r="B5" s="4">
        <v>46185</v>
      </c>
      <c r="C5" s="7" t="s">
        <v>108</v>
      </c>
      <c r="D5" s="5" t="s">
        <v>118</v>
      </c>
      <c r="E5" s="6" t="s">
        <v>155</v>
      </c>
      <c r="F5">
        <v>4</v>
      </c>
      <c r="G5">
        <v>1</v>
      </c>
      <c r="H5" t="s">
        <v>162</v>
      </c>
      <c r="I5" s="8">
        <f t="shared" si="0"/>
        <v>3</v>
      </c>
      <c r="J5">
        <f t="shared" si="1"/>
        <v>0</v>
      </c>
    </row>
    <row r="6" spans="1:10">
      <c r="A6">
        <v>5</v>
      </c>
      <c r="B6" s="4">
        <v>46186</v>
      </c>
      <c r="C6" s="7" t="s">
        <v>108</v>
      </c>
      <c r="D6" s="6" t="s">
        <v>119</v>
      </c>
      <c r="E6" s="6" t="s">
        <v>140</v>
      </c>
      <c r="F6">
        <v>1</v>
      </c>
      <c r="G6">
        <v>1</v>
      </c>
      <c r="H6" t="s">
        <v>162</v>
      </c>
      <c r="I6" s="8">
        <f t="shared" si="0"/>
        <v>0</v>
      </c>
      <c r="J6">
        <f t="shared" si="1"/>
        <v>0</v>
      </c>
    </row>
    <row r="7" spans="1:10">
      <c r="A7">
        <v>6</v>
      </c>
      <c r="B7" s="4">
        <v>46186</v>
      </c>
      <c r="C7" s="7" t="s">
        <v>108</v>
      </c>
      <c r="D7" s="6" t="s">
        <v>120</v>
      </c>
      <c r="E7" s="6" t="s">
        <v>151</v>
      </c>
      <c r="F7">
        <v>1</v>
      </c>
      <c r="G7">
        <v>1</v>
      </c>
      <c r="H7" t="s">
        <v>162</v>
      </c>
      <c r="I7" s="8">
        <f t="shared" si="0"/>
        <v>0</v>
      </c>
      <c r="J7">
        <f t="shared" si="1"/>
        <v>0</v>
      </c>
    </row>
    <row r="8" spans="1:10">
      <c r="A8">
        <v>7</v>
      </c>
      <c r="B8" s="4">
        <v>46186</v>
      </c>
      <c r="C8" s="7" t="s">
        <v>108</v>
      </c>
      <c r="D8" s="5" t="s">
        <v>121</v>
      </c>
      <c r="E8" s="6" t="s">
        <v>142</v>
      </c>
      <c r="F8">
        <v>2</v>
      </c>
      <c r="G8">
        <v>0</v>
      </c>
      <c r="H8" t="s">
        <v>162</v>
      </c>
      <c r="I8" s="8">
        <f t="shared" si="0"/>
        <v>2</v>
      </c>
      <c r="J8">
        <f t="shared" si="1"/>
        <v>0</v>
      </c>
    </row>
    <row r="9" spans="1:10">
      <c r="A9">
        <v>8</v>
      </c>
      <c r="B9" s="4">
        <v>46186</v>
      </c>
      <c r="C9" s="7" t="s">
        <v>108</v>
      </c>
      <c r="D9" s="6" t="s">
        <v>122</v>
      </c>
      <c r="E9" s="5" t="s">
        <v>141</v>
      </c>
      <c r="F9">
        <v>0</v>
      </c>
      <c r="G9">
        <v>1</v>
      </c>
      <c r="H9" t="s">
        <v>162</v>
      </c>
      <c r="I9" s="8">
        <f t="shared" si="0"/>
        <v>-1</v>
      </c>
      <c r="J9">
        <f t="shared" si="1"/>
        <v>0</v>
      </c>
    </row>
    <row r="10" spans="1:10">
      <c r="A10">
        <v>9</v>
      </c>
      <c r="B10" s="4">
        <v>46187</v>
      </c>
      <c r="C10" s="7" t="s">
        <v>108</v>
      </c>
      <c r="D10" s="5" t="s">
        <v>123</v>
      </c>
      <c r="E10" s="6" t="s">
        <v>153</v>
      </c>
      <c r="F10">
        <v>7</v>
      </c>
      <c r="G10">
        <v>1</v>
      </c>
      <c r="H10" t="s">
        <v>162</v>
      </c>
      <c r="I10" s="8">
        <f t="shared" si="0"/>
        <v>6</v>
      </c>
      <c r="J10">
        <f t="shared" si="1"/>
        <v>0</v>
      </c>
    </row>
    <row r="11" spans="1:10">
      <c r="A11">
        <v>10</v>
      </c>
      <c r="B11" s="4">
        <v>46187</v>
      </c>
      <c r="C11" s="7" t="s">
        <v>108</v>
      </c>
      <c r="D11" s="6" t="s">
        <v>124</v>
      </c>
      <c r="E11" s="6" t="s">
        <v>154</v>
      </c>
      <c r="F11">
        <v>2</v>
      </c>
      <c r="G11">
        <v>2</v>
      </c>
      <c r="H11" t="s">
        <v>162</v>
      </c>
      <c r="I11" s="8">
        <f t="shared" si="0"/>
        <v>0</v>
      </c>
      <c r="J11">
        <f t="shared" si="1"/>
        <v>0</v>
      </c>
    </row>
    <row r="12" spans="1:10">
      <c r="A12">
        <v>11</v>
      </c>
      <c r="B12" s="4">
        <v>46187</v>
      </c>
      <c r="C12" s="7" t="s">
        <v>108</v>
      </c>
      <c r="D12" s="5" t="s">
        <v>125</v>
      </c>
      <c r="E12" s="6" t="s">
        <v>143</v>
      </c>
      <c r="F12">
        <v>1</v>
      </c>
      <c r="G12">
        <v>0</v>
      </c>
      <c r="H12" t="s">
        <v>162</v>
      </c>
      <c r="I12" s="8">
        <f t="shared" si="0"/>
        <v>1</v>
      </c>
      <c r="J12">
        <f t="shared" si="1"/>
        <v>0</v>
      </c>
    </row>
    <row r="13" spans="1:10">
      <c r="A13">
        <v>12</v>
      </c>
      <c r="B13" s="4">
        <v>46187</v>
      </c>
      <c r="C13" s="7" t="s">
        <v>108</v>
      </c>
      <c r="D13" s="5" t="s">
        <v>126</v>
      </c>
      <c r="E13" s="6" t="s">
        <v>144</v>
      </c>
      <c r="F13">
        <v>5</v>
      </c>
      <c r="G13">
        <v>1</v>
      </c>
      <c r="H13" t="s">
        <v>162</v>
      </c>
      <c r="I13" s="8">
        <f t="shared" si="0"/>
        <v>4</v>
      </c>
      <c r="J13">
        <f t="shared" si="1"/>
        <v>0</v>
      </c>
    </row>
    <row r="14" spans="1:10">
      <c r="A14">
        <v>13</v>
      </c>
      <c r="B14" s="4">
        <v>46188</v>
      </c>
      <c r="C14" s="7" t="s">
        <v>108</v>
      </c>
      <c r="D14" s="6" t="s">
        <v>127</v>
      </c>
      <c r="E14" s="6" t="s">
        <v>158</v>
      </c>
      <c r="F14">
        <v>1</v>
      </c>
      <c r="G14">
        <v>1</v>
      </c>
      <c r="H14" t="s">
        <v>162</v>
      </c>
      <c r="I14" s="8">
        <f t="shared" si="0"/>
        <v>0</v>
      </c>
      <c r="J14">
        <f t="shared" si="1"/>
        <v>0</v>
      </c>
    </row>
    <row r="15" spans="1:10">
      <c r="A15">
        <v>14</v>
      </c>
      <c r="B15" s="4">
        <v>46188</v>
      </c>
      <c r="C15" s="7" t="s">
        <v>108</v>
      </c>
      <c r="D15" s="6" t="s">
        <v>128</v>
      </c>
      <c r="E15" s="6" t="s">
        <v>157</v>
      </c>
      <c r="F15">
        <v>0</v>
      </c>
      <c r="G15">
        <v>0</v>
      </c>
      <c r="H15" t="s">
        <v>162</v>
      </c>
      <c r="I15" s="8">
        <f t="shared" si="0"/>
        <v>0</v>
      </c>
      <c r="J15">
        <f t="shared" si="1"/>
        <v>0</v>
      </c>
    </row>
    <row r="16" spans="1:10">
      <c r="A16">
        <v>15</v>
      </c>
      <c r="B16" s="4">
        <v>46188</v>
      </c>
      <c r="C16" s="7" t="s">
        <v>108</v>
      </c>
      <c r="D16" s="6" t="s">
        <v>129</v>
      </c>
      <c r="E16" s="6" t="s">
        <v>145</v>
      </c>
      <c r="F16">
        <v>1</v>
      </c>
      <c r="G16">
        <v>1</v>
      </c>
      <c r="H16" t="s">
        <v>162</v>
      </c>
      <c r="I16" s="8">
        <f t="shared" si="0"/>
        <v>0</v>
      </c>
      <c r="J16">
        <f t="shared" si="1"/>
        <v>0</v>
      </c>
    </row>
    <row r="17" spans="1:10">
      <c r="A17">
        <v>16</v>
      </c>
      <c r="B17" s="4">
        <v>46188</v>
      </c>
      <c r="C17" s="7" t="s">
        <v>108</v>
      </c>
      <c r="D17" s="6" t="s">
        <v>130</v>
      </c>
      <c r="E17" s="6" t="s">
        <v>146</v>
      </c>
      <c r="F17">
        <v>2</v>
      </c>
      <c r="G17">
        <v>2</v>
      </c>
      <c r="H17" t="s">
        <v>162</v>
      </c>
      <c r="I17" s="8">
        <f t="shared" si="0"/>
        <v>0</v>
      </c>
      <c r="J17">
        <f t="shared" si="1"/>
        <v>0</v>
      </c>
    </row>
    <row r="18" spans="1:10">
      <c r="A18">
        <v>17</v>
      </c>
      <c r="B18" s="4">
        <v>46189</v>
      </c>
      <c r="C18" s="7" t="s">
        <v>108</v>
      </c>
      <c r="D18" s="5" t="s">
        <v>131</v>
      </c>
      <c r="E18" s="6" t="s">
        <v>156</v>
      </c>
      <c r="F18">
        <v>3</v>
      </c>
      <c r="G18">
        <v>1</v>
      </c>
      <c r="H18" t="s">
        <v>162</v>
      </c>
      <c r="I18" s="8">
        <f t="shared" si="0"/>
        <v>2</v>
      </c>
      <c r="J18">
        <f t="shared" si="1"/>
        <v>0</v>
      </c>
    </row>
    <row r="19" spans="1:10">
      <c r="A19">
        <v>18</v>
      </c>
      <c r="B19" s="4">
        <v>46189</v>
      </c>
      <c r="C19" s="7" t="s">
        <v>108</v>
      </c>
      <c r="D19" s="6" t="s">
        <v>132</v>
      </c>
      <c r="E19" s="5" t="s">
        <v>147</v>
      </c>
      <c r="F19">
        <v>1</v>
      </c>
      <c r="G19">
        <v>4</v>
      </c>
      <c r="H19" t="s">
        <v>162</v>
      </c>
      <c r="I19" s="8">
        <f>IF(OR(F19="",G19=""),"",F19-G19)</f>
        <v>-3</v>
      </c>
      <c r="J19">
        <f t="shared" si="1"/>
        <v>0</v>
      </c>
    </row>
    <row r="20" spans="1:10">
      <c r="A20">
        <v>19</v>
      </c>
      <c r="B20" s="4">
        <v>46189</v>
      </c>
      <c r="C20" s="7" t="s">
        <v>108</v>
      </c>
      <c r="D20" s="5" t="s">
        <v>133</v>
      </c>
      <c r="E20" s="6" t="s">
        <v>161</v>
      </c>
      <c r="F20">
        <v>3</v>
      </c>
      <c r="G20">
        <v>0</v>
      </c>
      <c r="H20" t="s">
        <v>162</v>
      </c>
      <c r="I20" s="8">
        <f t="shared" si="0"/>
        <v>3</v>
      </c>
      <c r="J20">
        <f t="shared" si="1"/>
        <v>0</v>
      </c>
    </row>
    <row r="21" spans="1:10">
      <c r="A21">
        <v>20</v>
      </c>
      <c r="B21" s="4">
        <v>46189</v>
      </c>
      <c r="C21" s="7" t="s">
        <v>108</v>
      </c>
      <c r="D21" s="5" t="s">
        <v>134</v>
      </c>
      <c r="E21" s="6" t="s">
        <v>148</v>
      </c>
      <c r="F21">
        <v>3</v>
      </c>
      <c r="G21">
        <v>1</v>
      </c>
      <c r="H21" t="s">
        <v>162</v>
      </c>
      <c r="I21" s="8">
        <f t="shared" si="0"/>
        <v>2</v>
      </c>
      <c r="J21">
        <f t="shared" si="1"/>
        <v>0</v>
      </c>
    </row>
    <row r="22" spans="1:10">
      <c r="A22">
        <v>21</v>
      </c>
      <c r="B22" s="4">
        <v>46190</v>
      </c>
      <c r="C22" s="7" t="s">
        <v>108</v>
      </c>
      <c r="D22" s="6" t="s">
        <v>135</v>
      </c>
      <c r="E22" s="6" t="s">
        <v>160</v>
      </c>
      <c r="F22">
        <v>1</v>
      </c>
      <c r="G22">
        <v>1</v>
      </c>
      <c r="H22" t="s">
        <v>162</v>
      </c>
      <c r="I22" s="8">
        <f t="shared" si="0"/>
        <v>0</v>
      </c>
      <c r="J22">
        <f t="shared" si="1"/>
        <v>0</v>
      </c>
    </row>
    <row r="23" spans="1:10">
      <c r="A23">
        <v>22</v>
      </c>
      <c r="B23" s="4">
        <v>46190</v>
      </c>
      <c r="C23" s="7" t="s">
        <v>108</v>
      </c>
      <c r="D23" s="5" t="s">
        <v>136</v>
      </c>
      <c r="E23" s="6" t="s">
        <v>159</v>
      </c>
      <c r="F23">
        <v>4</v>
      </c>
      <c r="G23">
        <v>2</v>
      </c>
      <c r="H23" t="s">
        <v>162</v>
      </c>
      <c r="I23" s="8">
        <f t="shared" si="0"/>
        <v>2</v>
      </c>
      <c r="J23">
        <f t="shared" si="1"/>
        <v>0</v>
      </c>
    </row>
    <row r="24" spans="1:10">
      <c r="A24">
        <v>23</v>
      </c>
      <c r="B24" s="4">
        <v>46190</v>
      </c>
      <c r="C24" s="7" t="s">
        <v>108</v>
      </c>
      <c r="D24" s="5" t="s">
        <v>137</v>
      </c>
      <c r="E24" s="6" t="s">
        <v>149</v>
      </c>
      <c r="F24">
        <v>1</v>
      </c>
      <c r="G24">
        <v>0</v>
      </c>
      <c r="H24" t="s">
        <v>162</v>
      </c>
      <c r="I24" s="8">
        <f t="shared" si="0"/>
        <v>1</v>
      </c>
      <c r="J24">
        <f t="shared" si="1"/>
        <v>0</v>
      </c>
    </row>
    <row r="25" spans="1:10">
      <c r="A25">
        <v>24</v>
      </c>
      <c r="B25" s="4">
        <v>46190</v>
      </c>
      <c r="C25" s="7" t="s">
        <v>108</v>
      </c>
      <c r="D25" s="6" t="s">
        <v>138</v>
      </c>
      <c r="E25" s="5" t="s">
        <v>150</v>
      </c>
      <c r="F25">
        <v>1</v>
      </c>
      <c r="G25">
        <v>3</v>
      </c>
      <c r="H25" t="s">
        <v>162</v>
      </c>
      <c r="I25" s="8">
        <f t="shared" si="0"/>
        <v>-2</v>
      </c>
      <c r="J25">
        <f t="shared" si="1"/>
        <v>0</v>
      </c>
    </row>
    <row r="26" spans="1:10">
      <c r="A26">
        <v>25</v>
      </c>
      <c r="B26" s="4">
        <v>46191</v>
      </c>
      <c r="C26" s="7" t="s">
        <v>108</v>
      </c>
      <c r="D26" s="6" t="s">
        <v>139</v>
      </c>
      <c r="E26" s="6" t="s">
        <v>152</v>
      </c>
      <c r="F26">
        <v>1</v>
      </c>
      <c r="G26">
        <v>1</v>
      </c>
      <c r="H26" t="s">
        <v>162</v>
      </c>
      <c r="I26" s="8">
        <f t="shared" si="0"/>
        <v>0</v>
      </c>
      <c r="J26">
        <f t="shared" si="1"/>
        <v>0</v>
      </c>
    </row>
    <row r="27" spans="1:10" ht="30">
      <c r="A27">
        <v>26</v>
      </c>
      <c r="B27" s="4">
        <v>46191</v>
      </c>
      <c r="C27" s="7" t="s">
        <v>108</v>
      </c>
      <c r="D27" s="5" t="s">
        <v>140</v>
      </c>
      <c r="E27" s="6" t="s">
        <v>349</v>
      </c>
      <c r="F27">
        <v>4</v>
      </c>
      <c r="G27">
        <v>1</v>
      </c>
      <c r="H27" t="s">
        <v>162</v>
      </c>
      <c r="I27" s="8">
        <f t="shared" si="0"/>
        <v>3</v>
      </c>
      <c r="J27">
        <f t="shared" si="1"/>
        <v>0</v>
      </c>
    </row>
    <row r="28" spans="1:10">
      <c r="A28">
        <v>27</v>
      </c>
      <c r="B28" s="4">
        <v>46191</v>
      </c>
      <c r="C28" s="7" t="s">
        <v>108</v>
      </c>
      <c r="D28" s="5" t="s">
        <v>117</v>
      </c>
      <c r="E28" s="6" t="s">
        <v>119</v>
      </c>
      <c r="F28">
        <v>6</v>
      </c>
      <c r="G28">
        <v>0</v>
      </c>
      <c r="H28" t="s">
        <v>162</v>
      </c>
      <c r="I28" s="8">
        <f t="shared" si="0"/>
        <v>6</v>
      </c>
      <c r="J28">
        <f t="shared" si="1"/>
        <v>0</v>
      </c>
    </row>
    <row r="29" spans="1:10" ht="30">
      <c r="A29">
        <v>28</v>
      </c>
      <c r="B29" s="4">
        <v>46191</v>
      </c>
      <c r="C29" s="7" t="s">
        <v>108</v>
      </c>
      <c r="D29" s="5" t="s">
        <v>115</v>
      </c>
      <c r="E29" s="6" t="s">
        <v>116</v>
      </c>
      <c r="F29">
        <v>1</v>
      </c>
      <c r="G29">
        <v>0</v>
      </c>
      <c r="H29" t="s">
        <v>162</v>
      </c>
      <c r="I29" s="8">
        <f t="shared" si="0"/>
        <v>1</v>
      </c>
      <c r="J29">
        <f t="shared" si="1"/>
        <v>0</v>
      </c>
    </row>
    <row r="30" spans="1:10">
      <c r="A30">
        <v>29</v>
      </c>
      <c r="B30" s="4">
        <v>46192</v>
      </c>
      <c r="C30" s="7" t="s">
        <v>108</v>
      </c>
      <c r="D30" s="5" t="s">
        <v>118</v>
      </c>
      <c r="E30" s="6" t="s">
        <v>121</v>
      </c>
      <c r="F30">
        <v>2</v>
      </c>
      <c r="G30">
        <v>0</v>
      </c>
      <c r="H30" t="s">
        <v>162</v>
      </c>
      <c r="I30" s="8">
        <f t="shared" si="0"/>
        <v>2</v>
      </c>
      <c r="J30">
        <f t="shared" si="1"/>
        <v>0</v>
      </c>
    </row>
    <row r="31" spans="1:10">
      <c r="A31">
        <v>30</v>
      </c>
      <c r="B31" s="4">
        <v>46192</v>
      </c>
      <c r="C31" s="7" t="s">
        <v>108</v>
      </c>
      <c r="D31" s="6" t="s">
        <v>141</v>
      </c>
      <c r="E31" s="5" t="s">
        <v>151</v>
      </c>
      <c r="F31">
        <v>0</v>
      </c>
      <c r="G31">
        <v>1</v>
      </c>
      <c r="H31" t="s">
        <v>162</v>
      </c>
      <c r="I31" s="8">
        <f t="shared" si="0"/>
        <v>-1</v>
      </c>
      <c r="J31">
        <f t="shared" si="1"/>
        <v>0</v>
      </c>
    </row>
    <row r="32" spans="1:10">
      <c r="A32">
        <v>31</v>
      </c>
      <c r="B32" s="4">
        <v>46192</v>
      </c>
      <c r="C32" s="7" t="s">
        <v>108</v>
      </c>
      <c r="D32" s="6" t="s">
        <v>142</v>
      </c>
      <c r="E32" s="5" t="s">
        <v>155</v>
      </c>
      <c r="F32">
        <v>0</v>
      </c>
      <c r="G32">
        <v>1</v>
      </c>
      <c r="H32" t="s">
        <v>162</v>
      </c>
      <c r="I32" s="8">
        <f t="shared" si="0"/>
        <v>-1</v>
      </c>
      <c r="J32">
        <f t="shared" si="1"/>
        <v>0</v>
      </c>
    </row>
    <row r="33" spans="1:10">
      <c r="A33">
        <v>32</v>
      </c>
      <c r="B33" s="4">
        <v>46192</v>
      </c>
      <c r="C33" s="7" t="s">
        <v>108</v>
      </c>
      <c r="D33" s="5" t="s">
        <v>120</v>
      </c>
      <c r="E33" s="6" t="s">
        <v>122</v>
      </c>
      <c r="F33">
        <v>3</v>
      </c>
      <c r="G33">
        <v>0</v>
      </c>
      <c r="H33" t="s">
        <v>162</v>
      </c>
      <c r="I33" s="8">
        <f t="shared" si="0"/>
        <v>3</v>
      </c>
      <c r="J33">
        <f t="shared" si="1"/>
        <v>0</v>
      </c>
    </row>
    <row r="34" spans="1:10">
      <c r="A34">
        <v>33</v>
      </c>
      <c r="B34" s="4">
        <v>46193</v>
      </c>
      <c r="C34" s="7" t="s">
        <v>108</v>
      </c>
      <c r="D34" s="5" t="s">
        <v>124</v>
      </c>
      <c r="E34" s="6" t="s">
        <v>126</v>
      </c>
      <c r="F34">
        <v>5</v>
      </c>
      <c r="G34">
        <v>1</v>
      </c>
      <c r="H34" t="s">
        <v>162</v>
      </c>
      <c r="I34" s="8">
        <f t="shared" si="0"/>
        <v>4</v>
      </c>
      <c r="J34">
        <f t="shared" si="1"/>
        <v>0</v>
      </c>
    </row>
    <row r="35" spans="1:10">
      <c r="A35">
        <v>34</v>
      </c>
      <c r="B35" s="4">
        <v>46193</v>
      </c>
      <c r="C35" s="7" t="s">
        <v>108</v>
      </c>
      <c r="D35" s="5" t="s">
        <v>123</v>
      </c>
      <c r="E35" s="6" t="s">
        <v>125</v>
      </c>
      <c r="F35">
        <v>2</v>
      </c>
      <c r="G35">
        <v>1</v>
      </c>
      <c r="H35" t="s">
        <v>162</v>
      </c>
      <c r="I35" s="8">
        <f t="shared" si="0"/>
        <v>1</v>
      </c>
      <c r="J35">
        <f t="shared" si="1"/>
        <v>0</v>
      </c>
    </row>
    <row r="36" spans="1:10">
      <c r="A36">
        <v>35</v>
      </c>
      <c r="B36" s="4">
        <v>46193</v>
      </c>
      <c r="C36" s="7" t="s">
        <v>108</v>
      </c>
      <c r="D36" s="6" t="s">
        <v>143</v>
      </c>
      <c r="E36" s="6" t="s">
        <v>153</v>
      </c>
      <c r="F36">
        <v>0</v>
      </c>
      <c r="G36">
        <v>0</v>
      </c>
      <c r="H36" t="s">
        <v>162</v>
      </c>
      <c r="I36" s="8">
        <f>IF(OR(F36="",G36=""),"",F36-G36)</f>
        <v>0</v>
      </c>
      <c r="J36">
        <f t="shared" si="1"/>
        <v>0</v>
      </c>
    </row>
    <row r="37" spans="1:10">
      <c r="A37">
        <v>36</v>
      </c>
      <c r="B37" s="4">
        <v>46193</v>
      </c>
      <c r="C37" s="7" t="s">
        <v>108</v>
      </c>
      <c r="D37" s="6" t="s">
        <v>144</v>
      </c>
      <c r="E37" s="5" t="s">
        <v>154</v>
      </c>
      <c r="F37">
        <v>0</v>
      </c>
      <c r="G37">
        <v>4</v>
      </c>
      <c r="H37" t="s">
        <v>162</v>
      </c>
      <c r="I37" s="8">
        <f t="shared" si="0"/>
        <v>-4</v>
      </c>
      <c r="J37">
        <f t="shared" si="1"/>
        <v>0</v>
      </c>
    </row>
    <row r="38" spans="1:10">
      <c r="A38">
        <v>37</v>
      </c>
      <c r="B38" s="4">
        <v>46194</v>
      </c>
      <c r="C38" s="7" t="s">
        <v>108</v>
      </c>
      <c r="D38" s="5" t="s">
        <v>128</v>
      </c>
      <c r="E38" s="6" t="s">
        <v>129</v>
      </c>
      <c r="F38">
        <v>4</v>
      </c>
      <c r="G38">
        <v>0</v>
      </c>
      <c r="H38" t="s">
        <v>162</v>
      </c>
      <c r="I38" s="8">
        <f t="shared" si="0"/>
        <v>4</v>
      </c>
      <c r="J38">
        <f t="shared" si="1"/>
        <v>0</v>
      </c>
    </row>
    <row r="39" spans="1:10">
      <c r="A39">
        <v>38</v>
      </c>
      <c r="B39" s="4">
        <v>46194</v>
      </c>
      <c r="C39" s="7" t="s">
        <v>108</v>
      </c>
      <c r="D39" s="6" t="s">
        <v>127</v>
      </c>
      <c r="E39" s="6" t="s">
        <v>130</v>
      </c>
      <c r="F39">
        <v>0</v>
      </c>
      <c r="G39">
        <v>0</v>
      </c>
      <c r="H39" t="s">
        <v>162</v>
      </c>
      <c r="I39" s="8">
        <f t="shared" si="0"/>
        <v>0</v>
      </c>
      <c r="J39">
        <f t="shared" si="1"/>
        <v>0</v>
      </c>
    </row>
    <row r="40" spans="1:10">
      <c r="A40">
        <v>39</v>
      </c>
      <c r="B40" s="4">
        <v>46194</v>
      </c>
      <c r="C40" s="7" t="s">
        <v>108</v>
      </c>
      <c r="D40" s="6" t="s">
        <v>145</v>
      </c>
      <c r="E40" s="6" t="s">
        <v>157</v>
      </c>
      <c r="F40">
        <v>2</v>
      </c>
      <c r="G40">
        <v>2</v>
      </c>
      <c r="H40" t="s">
        <v>162</v>
      </c>
      <c r="I40" s="8">
        <f t="shared" si="0"/>
        <v>0</v>
      </c>
      <c r="J40">
        <f t="shared" si="1"/>
        <v>0</v>
      </c>
    </row>
    <row r="41" spans="1:10" ht="30">
      <c r="A41">
        <v>40</v>
      </c>
      <c r="B41" s="4">
        <v>46194</v>
      </c>
      <c r="C41" s="7" t="s">
        <v>108</v>
      </c>
      <c r="D41" s="6" t="s">
        <v>146</v>
      </c>
      <c r="E41" s="5" t="s">
        <v>158</v>
      </c>
      <c r="F41">
        <v>1</v>
      </c>
      <c r="G41">
        <v>3</v>
      </c>
      <c r="H41" t="s">
        <v>162</v>
      </c>
      <c r="I41" s="8">
        <f t="shared" si="0"/>
        <v>-2</v>
      </c>
      <c r="J41">
        <f t="shared" si="1"/>
        <v>0</v>
      </c>
    </row>
    <row r="42" spans="1:10">
      <c r="A42">
        <v>41</v>
      </c>
      <c r="B42" s="4">
        <v>46195</v>
      </c>
      <c r="C42" s="7" t="s">
        <v>108</v>
      </c>
      <c r="D42" s="5" t="s">
        <v>133</v>
      </c>
      <c r="E42" s="6" t="s">
        <v>134</v>
      </c>
      <c r="F42">
        <v>2</v>
      </c>
      <c r="G42">
        <v>0</v>
      </c>
      <c r="H42" t="s">
        <v>162</v>
      </c>
      <c r="I42" s="8">
        <f t="shared" si="0"/>
        <v>2</v>
      </c>
      <c r="J42">
        <f t="shared" si="1"/>
        <v>0</v>
      </c>
    </row>
    <row r="43" spans="1:10">
      <c r="A43">
        <v>42</v>
      </c>
      <c r="B43" s="4">
        <v>46195</v>
      </c>
      <c r="C43" s="7" t="s">
        <v>108</v>
      </c>
      <c r="D43" s="5" t="s">
        <v>131</v>
      </c>
      <c r="E43" s="6" t="s">
        <v>132</v>
      </c>
      <c r="F43">
        <v>3</v>
      </c>
      <c r="G43">
        <v>0</v>
      </c>
      <c r="H43" t="s">
        <v>162</v>
      </c>
      <c r="I43" s="8">
        <f t="shared" si="0"/>
        <v>3</v>
      </c>
      <c r="J43">
        <f t="shared" si="1"/>
        <v>0</v>
      </c>
    </row>
    <row r="44" spans="1:10">
      <c r="A44">
        <v>43</v>
      </c>
      <c r="B44" s="4">
        <v>46195</v>
      </c>
      <c r="C44" s="7" t="s">
        <v>108</v>
      </c>
      <c r="D44" s="5" t="s">
        <v>147</v>
      </c>
      <c r="E44" s="6" t="s">
        <v>156</v>
      </c>
      <c r="F44">
        <v>3</v>
      </c>
      <c r="G44">
        <v>2</v>
      </c>
      <c r="H44" t="s">
        <v>162</v>
      </c>
      <c r="I44" s="8">
        <f t="shared" si="0"/>
        <v>1</v>
      </c>
      <c r="J44">
        <f t="shared" si="1"/>
        <v>0</v>
      </c>
    </row>
    <row r="45" spans="1:10">
      <c r="A45">
        <v>44</v>
      </c>
      <c r="B45" s="4">
        <v>46195</v>
      </c>
      <c r="C45" s="7" t="s">
        <v>108</v>
      </c>
      <c r="D45" s="6" t="s">
        <v>148</v>
      </c>
      <c r="E45" s="5" t="s">
        <v>161</v>
      </c>
      <c r="F45">
        <v>1</v>
      </c>
      <c r="G45">
        <v>2</v>
      </c>
      <c r="H45" t="s">
        <v>162</v>
      </c>
      <c r="I45" s="8">
        <f t="shared" si="0"/>
        <v>-1</v>
      </c>
      <c r="J45">
        <f t="shared" si="1"/>
        <v>0</v>
      </c>
    </row>
    <row r="46" spans="1:10">
      <c r="A46">
        <v>45</v>
      </c>
      <c r="B46" s="4">
        <v>46196</v>
      </c>
      <c r="C46" s="7" t="s">
        <v>108</v>
      </c>
      <c r="D46" s="5" t="s">
        <v>135</v>
      </c>
      <c r="E46" s="6" t="s">
        <v>138</v>
      </c>
      <c r="F46">
        <v>5</v>
      </c>
      <c r="G46">
        <v>0</v>
      </c>
      <c r="H46" t="s">
        <v>162</v>
      </c>
      <c r="I46" s="8">
        <f t="shared" si="0"/>
        <v>5</v>
      </c>
      <c r="J46">
        <f t="shared" si="1"/>
        <v>0</v>
      </c>
    </row>
    <row r="47" spans="1:10">
      <c r="A47">
        <v>46</v>
      </c>
      <c r="B47" s="4">
        <v>46196</v>
      </c>
      <c r="C47" s="7" t="s">
        <v>108</v>
      </c>
      <c r="D47" s="6" t="s">
        <v>136</v>
      </c>
      <c r="E47" s="6" t="s">
        <v>137</v>
      </c>
      <c r="F47">
        <v>0</v>
      </c>
      <c r="G47">
        <v>0</v>
      </c>
      <c r="H47" t="s">
        <v>162</v>
      </c>
      <c r="I47" s="8">
        <f t="shared" si="0"/>
        <v>0</v>
      </c>
      <c r="J47">
        <f t="shared" si="1"/>
        <v>0</v>
      </c>
    </row>
    <row r="48" spans="1:10">
      <c r="A48">
        <v>47</v>
      </c>
      <c r="B48" s="4">
        <v>46196</v>
      </c>
      <c r="C48" s="7" t="s">
        <v>108</v>
      </c>
      <c r="D48" s="6" t="s">
        <v>149</v>
      </c>
      <c r="E48" s="5" t="s">
        <v>159</v>
      </c>
      <c r="F48">
        <v>0</v>
      </c>
      <c r="G48">
        <v>1</v>
      </c>
      <c r="H48" t="s">
        <v>162</v>
      </c>
      <c r="I48" s="8">
        <f t="shared" si="0"/>
        <v>-1</v>
      </c>
      <c r="J48">
        <f t="shared" si="1"/>
        <v>0</v>
      </c>
    </row>
    <row r="49" spans="1:10">
      <c r="A49">
        <v>48</v>
      </c>
      <c r="B49" s="4">
        <v>46196</v>
      </c>
      <c r="C49" s="7" t="s">
        <v>108</v>
      </c>
      <c r="D49" s="5" t="s">
        <v>150</v>
      </c>
      <c r="E49" s="6" t="s">
        <v>160</v>
      </c>
      <c r="F49">
        <v>1</v>
      </c>
      <c r="G49">
        <v>0</v>
      </c>
      <c r="H49" t="s">
        <v>162</v>
      </c>
      <c r="I49" s="8">
        <f t="shared" si="0"/>
        <v>1</v>
      </c>
      <c r="J49">
        <f t="shared" si="1"/>
        <v>0</v>
      </c>
    </row>
    <row r="50" spans="1:10">
      <c r="A50">
        <v>49</v>
      </c>
      <c r="B50" s="4">
        <v>46197</v>
      </c>
      <c r="C50" s="7" t="s">
        <v>108</v>
      </c>
      <c r="D50" s="5" t="s">
        <v>140</v>
      </c>
      <c r="E50" s="6" t="s">
        <v>117</v>
      </c>
      <c r="F50">
        <v>2</v>
      </c>
      <c r="G50">
        <v>1</v>
      </c>
      <c r="H50" t="s">
        <v>162</v>
      </c>
      <c r="I50" s="8">
        <f t="shared" si="0"/>
        <v>1</v>
      </c>
      <c r="J50">
        <f t="shared" si="1"/>
        <v>0</v>
      </c>
    </row>
    <row r="51" spans="1:10" ht="30">
      <c r="A51">
        <v>50</v>
      </c>
      <c r="B51" s="4">
        <v>46197</v>
      </c>
      <c r="C51" s="7" t="s">
        <v>108</v>
      </c>
      <c r="D51" s="5" t="s">
        <v>349</v>
      </c>
      <c r="E51" s="6" t="s">
        <v>119</v>
      </c>
      <c r="F51">
        <v>3</v>
      </c>
      <c r="G51">
        <v>1</v>
      </c>
      <c r="H51" t="s">
        <v>162</v>
      </c>
      <c r="I51" s="8">
        <f t="shared" si="0"/>
        <v>2</v>
      </c>
      <c r="J51">
        <f t="shared" si="1"/>
        <v>0</v>
      </c>
    </row>
    <row r="52" spans="1:10">
      <c r="A52">
        <v>51</v>
      </c>
      <c r="B52" s="4">
        <v>46197</v>
      </c>
      <c r="C52" s="7" t="s">
        <v>108</v>
      </c>
      <c r="D52" s="6" t="s">
        <v>141</v>
      </c>
      <c r="E52" s="5" t="s">
        <v>120</v>
      </c>
      <c r="F52">
        <v>0</v>
      </c>
      <c r="G52">
        <v>3</v>
      </c>
      <c r="H52" t="s">
        <v>162</v>
      </c>
      <c r="I52" s="8">
        <f t="shared" si="0"/>
        <v>-3</v>
      </c>
      <c r="J52">
        <f t="shared" si="1"/>
        <v>0</v>
      </c>
    </row>
    <row r="53" spans="1:10">
      <c r="A53">
        <v>52</v>
      </c>
      <c r="B53" s="4">
        <v>46197</v>
      </c>
      <c r="C53" s="7" t="s">
        <v>108</v>
      </c>
      <c r="D53" s="5" t="s">
        <v>151</v>
      </c>
      <c r="E53" s="6" t="s">
        <v>122</v>
      </c>
      <c r="F53">
        <v>4</v>
      </c>
      <c r="G53">
        <v>2</v>
      </c>
      <c r="H53" t="s">
        <v>162</v>
      </c>
      <c r="I53" s="8">
        <f>IF(OR(F53="",G53=""),"",F53-G53)</f>
        <v>2</v>
      </c>
      <c r="J53">
        <f t="shared" si="1"/>
        <v>0</v>
      </c>
    </row>
    <row r="54" spans="1:10" ht="30">
      <c r="A54">
        <v>53</v>
      </c>
      <c r="B54" s="4">
        <v>46197</v>
      </c>
      <c r="C54" s="7" t="s">
        <v>108</v>
      </c>
      <c r="D54" s="5" t="s">
        <v>152</v>
      </c>
      <c r="E54" s="6" t="s">
        <v>116</v>
      </c>
      <c r="F54">
        <v>1</v>
      </c>
      <c r="G54">
        <v>0</v>
      </c>
      <c r="H54" t="s">
        <v>162</v>
      </c>
      <c r="I54" s="8">
        <f>IF(OR(F54="",G54=""),"",F54-G54)</f>
        <v>1</v>
      </c>
      <c r="J54">
        <f t="shared" si="1"/>
        <v>0</v>
      </c>
    </row>
    <row r="55" spans="1:10">
      <c r="A55">
        <v>54</v>
      </c>
      <c r="B55" s="4">
        <v>46197</v>
      </c>
      <c r="C55" s="7" t="s">
        <v>108</v>
      </c>
      <c r="D55" s="6" t="s">
        <v>139</v>
      </c>
      <c r="E55" s="5" t="s">
        <v>115</v>
      </c>
      <c r="F55">
        <v>0</v>
      </c>
      <c r="G55">
        <v>3</v>
      </c>
      <c r="H55" t="s">
        <v>162</v>
      </c>
      <c r="I55" s="8">
        <f t="shared" ref="I55:I70" si="2">IF(OR(F55="",G55=""),"",F55-G55)</f>
        <v>-3</v>
      </c>
      <c r="J55">
        <f t="shared" si="1"/>
        <v>0</v>
      </c>
    </row>
    <row r="56" spans="1:10">
      <c r="A56">
        <v>55</v>
      </c>
      <c r="B56" s="4">
        <v>46198</v>
      </c>
      <c r="C56" s="7" t="s">
        <v>108</v>
      </c>
      <c r="D56" s="6" t="s">
        <v>153</v>
      </c>
      <c r="E56" s="5" t="s">
        <v>125</v>
      </c>
      <c r="F56">
        <v>0</v>
      </c>
      <c r="G56">
        <v>2</v>
      </c>
      <c r="H56" t="s">
        <v>162</v>
      </c>
      <c r="I56" s="8">
        <f t="shared" si="2"/>
        <v>-2</v>
      </c>
      <c r="J56">
        <f t="shared" si="1"/>
        <v>0</v>
      </c>
    </row>
    <row r="57" spans="1:10">
      <c r="A57">
        <v>56</v>
      </c>
      <c r="B57" s="4">
        <v>46198</v>
      </c>
      <c r="C57" s="7" t="s">
        <v>108</v>
      </c>
      <c r="D57" s="5" t="s">
        <v>143</v>
      </c>
      <c r="E57" s="6" t="s">
        <v>123</v>
      </c>
      <c r="F57">
        <v>2</v>
      </c>
      <c r="G57">
        <v>1</v>
      </c>
      <c r="H57" t="s">
        <v>162</v>
      </c>
      <c r="I57" s="8">
        <f t="shared" si="2"/>
        <v>1</v>
      </c>
      <c r="J57">
        <f t="shared" si="1"/>
        <v>0</v>
      </c>
    </row>
    <row r="58" spans="1:10">
      <c r="A58">
        <v>57</v>
      </c>
      <c r="B58" s="4">
        <v>46198</v>
      </c>
      <c r="C58" s="7" t="s">
        <v>108</v>
      </c>
      <c r="D58" s="6" t="s">
        <v>144</v>
      </c>
      <c r="E58" s="5" t="s">
        <v>124</v>
      </c>
      <c r="F58">
        <v>1</v>
      </c>
      <c r="G58">
        <v>3</v>
      </c>
      <c r="H58" t="s">
        <v>162</v>
      </c>
      <c r="I58" s="8">
        <f t="shared" si="2"/>
        <v>-2</v>
      </c>
      <c r="J58">
        <f t="shared" si="1"/>
        <v>0</v>
      </c>
    </row>
    <row r="59" spans="1:10">
      <c r="A59">
        <v>58</v>
      </c>
      <c r="B59" s="4">
        <v>46198</v>
      </c>
      <c r="C59" s="7" t="s">
        <v>108</v>
      </c>
      <c r="D59" s="6" t="s">
        <v>154</v>
      </c>
      <c r="E59" s="6" t="s">
        <v>126</v>
      </c>
      <c r="F59">
        <v>1</v>
      </c>
      <c r="G59">
        <v>1</v>
      </c>
      <c r="H59" t="s">
        <v>162</v>
      </c>
      <c r="I59" s="8">
        <f t="shared" si="2"/>
        <v>0</v>
      </c>
      <c r="J59">
        <f t="shared" si="1"/>
        <v>0</v>
      </c>
    </row>
    <row r="60" spans="1:10">
      <c r="A60">
        <v>59</v>
      </c>
      <c r="B60" s="4">
        <v>46198</v>
      </c>
      <c r="C60" s="7" t="s">
        <v>108</v>
      </c>
      <c r="D60" s="5" t="s">
        <v>142</v>
      </c>
      <c r="E60" s="6" t="s">
        <v>118</v>
      </c>
      <c r="F60">
        <v>3</v>
      </c>
      <c r="G60">
        <v>2</v>
      </c>
      <c r="H60" t="s">
        <v>162</v>
      </c>
      <c r="I60" s="8">
        <f t="shared" si="2"/>
        <v>1</v>
      </c>
      <c r="J60">
        <f t="shared" si="1"/>
        <v>0</v>
      </c>
    </row>
    <row r="61" spans="1:10">
      <c r="A61">
        <v>60</v>
      </c>
      <c r="B61" s="4">
        <v>46198</v>
      </c>
      <c r="C61" s="7" t="s">
        <v>108</v>
      </c>
      <c r="D61" s="6" t="s">
        <v>155</v>
      </c>
      <c r="E61" s="6" t="s">
        <v>121</v>
      </c>
      <c r="F61">
        <v>0</v>
      </c>
      <c r="G61">
        <v>0</v>
      </c>
      <c r="H61" t="s">
        <v>162</v>
      </c>
      <c r="I61" s="8">
        <f t="shared" si="2"/>
        <v>0</v>
      </c>
      <c r="J61">
        <f t="shared" si="1"/>
        <v>0</v>
      </c>
    </row>
    <row r="62" spans="1:10">
      <c r="A62">
        <v>61</v>
      </c>
      <c r="B62" s="4">
        <v>46199</v>
      </c>
      <c r="C62" s="7" t="s">
        <v>108</v>
      </c>
      <c r="D62" s="6" t="s">
        <v>147</v>
      </c>
      <c r="E62" s="5" t="s">
        <v>131</v>
      </c>
      <c r="F62">
        <v>1</v>
      </c>
      <c r="G62">
        <v>4</v>
      </c>
      <c r="H62" t="s">
        <v>162</v>
      </c>
      <c r="I62" s="8">
        <f t="shared" si="2"/>
        <v>-3</v>
      </c>
      <c r="J62">
        <f t="shared" si="1"/>
        <v>0</v>
      </c>
    </row>
    <row r="63" spans="1:10">
      <c r="A63">
        <v>62</v>
      </c>
      <c r="B63" s="4">
        <v>46199</v>
      </c>
      <c r="C63" s="7" t="s">
        <v>108</v>
      </c>
      <c r="D63" s="5" t="s">
        <v>156</v>
      </c>
      <c r="E63" s="6" t="s">
        <v>132</v>
      </c>
      <c r="F63">
        <v>5</v>
      </c>
      <c r="G63">
        <v>0</v>
      </c>
      <c r="H63" t="s">
        <v>162</v>
      </c>
      <c r="I63" s="8">
        <f t="shared" si="2"/>
        <v>5</v>
      </c>
      <c r="J63">
        <f t="shared" si="1"/>
        <v>0</v>
      </c>
    </row>
    <row r="64" spans="1:10">
      <c r="A64">
        <v>63</v>
      </c>
      <c r="B64" s="4">
        <v>46199</v>
      </c>
      <c r="C64" s="7" t="s">
        <v>108</v>
      </c>
      <c r="D64" s="6" t="s">
        <v>145</v>
      </c>
      <c r="E64" s="5" t="s">
        <v>128</v>
      </c>
      <c r="F64">
        <v>0</v>
      </c>
      <c r="G64">
        <v>1</v>
      </c>
      <c r="H64" t="s">
        <v>162</v>
      </c>
      <c r="I64" s="8">
        <f t="shared" si="2"/>
        <v>-1</v>
      </c>
      <c r="J64">
        <f t="shared" si="1"/>
        <v>0</v>
      </c>
    </row>
    <row r="65" spans="1:10">
      <c r="A65">
        <v>64</v>
      </c>
      <c r="B65" s="4">
        <v>46199</v>
      </c>
      <c r="C65" s="7" t="s">
        <v>108</v>
      </c>
      <c r="D65" s="6" t="s">
        <v>157</v>
      </c>
      <c r="E65" s="6" t="s">
        <v>129</v>
      </c>
      <c r="F65">
        <v>0</v>
      </c>
      <c r="G65">
        <v>0</v>
      </c>
      <c r="H65" t="s">
        <v>162</v>
      </c>
      <c r="I65" s="8">
        <f t="shared" si="2"/>
        <v>0</v>
      </c>
      <c r="J65">
        <f t="shared" si="1"/>
        <v>0</v>
      </c>
    </row>
    <row r="66" spans="1:10">
      <c r="A66">
        <v>65</v>
      </c>
      <c r="B66" s="4">
        <v>46199</v>
      </c>
      <c r="C66" s="7" t="s">
        <v>108</v>
      </c>
      <c r="D66" s="6" t="s">
        <v>158</v>
      </c>
      <c r="E66" s="6" t="s">
        <v>130</v>
      </c>
      <c r="F66">
        <v>1</v>
      </c>
      <c r="G66">
        <v>1</v>
      </c>
      <c r="H66" t="s">
        <v>162</v>
      </c>
      <c r="I66" s="8">
        <f t="shared" si="2"/>
        <v>0</v>
      </c>
      <c r="J66">
        <f t="shared" si="1"/>
        <v>0</v>
      </c>
    </row>
    <row r="67" spans="1:10" ht="30">
      <c r="A67">
        <v>66</v>
      </c>
      <c r="B67" s="4">
        <v>46199</v>
      </c>
      <c r="C67" s="7" t="s">
        <v>108</v>
      </c>
      <c r="D67" s="6" t="s">
        <v>146</v>
      </c>
      <c r="E67" s="5" t="s">
        <v>127</v>
      </c>
      <c r="F67">
        <v>1</v>
      </c>
      <c r="G67">
        <v>5</v>
      </c>
      <c r="H67" t="s">
        <v>162</v>
      </c>
      <c r="I67" s="8">
        <f t="shared" si="2"/>
        <v>-4</v>
      </c>
      <c r="J67">
        <f t="shared" ref="J67:J105" si="3">IF(TRIM(C67)="Group stage",0,1)</f>
        <v>0</v>
      </c>
    </row>
    <row r="68" spans="1:10">
      <c r="A68">
        <v>67</v>
      </c>
      <c r="B68" s="4">
        <v>46200</v>
      </c>
      <c r="C68" s="7" t="s">
        <v>108</v>
      </c>
      <c r="D68" s="5" t="s">
        <v>159</v>
      </c>
      <c r="E68" s="6" t="s">
        <v>137</v>
      </c>
      <c r="F68">
        <v>2</v>
      </c>
      <c r="G68">
        <v>1</v>
      </c>
      <c r="H68" t="s">
        <v>162</v>
      </c>
      <c r="I68" s="8">
        <f t="shared" si="2"/>
        <v>1</v>
      </c>
      <c r="J68">
        <f t="shared" si="3"/>
        <v>0</v>
      </c>
    </row>
    <row r="69" spans="1:10">
      <c r="A69">
        <v>68</v>
      </c>
      <c r="B69" s="4">
        <v>46200</v>
      </c>
      <c r="C69" s="7" t="s">
        <v>108</v>
      </c>
      <c r="D69" s="6" t="s">
        <v>149</v>
      </c>
      <c r="E69" s="5" t="s">
        <v>136</v>
      </c>
      <c r="F69">
        <v>0</v>
      </c>
      <c r="G69">
        <v>2</v>
      </c>
      <c r="H69" t="s">
        <v>162</v>
      </c>
      <c r="I69" s="8">
        <f t="shared" si="2"/>
        <v>-2</v>
      </c>
      <c r="J69">
        <f t="shared" si="3"/>
        <v>0</v>
      </c>
    </row>
    <row r="70" spans="1:10">
      <c r="A70">
        <v>69</v>
      </c>
      <c r="B70" s="4">
        <v>46200</v>
      </c>
      <c r="C70" s="7" t="s">
        <v>108</v>
      </c>
      <c r="D70" s="5" t="s">
        <v>160</v>
      </c>
      <c r="E70" s="6" t="s">
        <v>138</v>
      </c>
      <c r="F70">
        <v>3</v>
      </c>
      <c r="G70">
        <v>1</v>
      </c>
      <c r="H70" t="s">
        <v>162</v>
      </c>
      <c r="I70" s="8">
        <f t="shared" si="2"/>
        <v>2</v>
      </c>
      <c r="J70">
        <f t="shared" si="3"/>
        <v>0</v>
      </c>
    </row>
    <row r="71" spans="1:10">
      <c r="A71">
        <v>70</v>
      </c>
      <c r="B71" s="4">
        <v>46200</v>
      </c>
      <c r="C71" s="7" t="s">
        <v>108</v>
      </c>
      <c r="D71" s="6" t="s">
        <v>150</v>
      </c>
      <c r="E71" s="6" t="s">
        <v>135</v>
      </c>
      <c r="F71">
        <v>0</v>
      </c>
      <c r="G71">
        <v>0</v>
      </c>
      <c r="H71" t="s">
        <v>162</v>
      </c>
      <c r="I71" s="8">
        <f>IF(OR(F71="",G71=""),"",F71-G71)</f>
        <v>0</v>
      </c>
      <c r="J71">
        <f t="shared" si="3"/>
        <v>0</v>
      </c>
    </row>
    <row r="72" spans="1:10">
      <c r="A72">
        <v>71</v>
      </c>
      <c r="B72" s="4">
        <v>46200</v>
      </c>
      <c r="C72" s="7" t="s">
        <v>108</v>
      </c>
      <c r="D72" s="6" t="s">
        <v>148</v>
      </c>
      <c r="E72" s="5" t="s">
        <v>133</v>
      </c>
      <c r="F72">
        <v>1</v>
      </c>
      <c r="G72">
        <v>3</v>
      </c>
      <c r="H72" t="s">
        <v>162</v>
      </c>
      <c r="I72" s="8">
        <f>IF(OR(F72="",G72=""),"",F72-G72)</f>
        <v>-2</v>
      </c>
      <c r="J72">
        <f t="shared" si="3"/>
        <v>0</v>
      </c>
    </row>
    <row r="73" spans="1:10">
      <c r="A73">
        <v>72</v>
      </c>
      <c r="B73" s="4">
        <v>46200</v>
      </c>
      <c r="C73" s="7" t="s">
        <v>108</v>
      </c>
      <c r="D73" s="6" t="s">
        <v>161</v>
      </c>
      <c r="E73" s="6" t="s">
        <v>134</v>
      </c>
      <c r="F73">
        <v>3</v>
      </c>
      <c r="G73">
        <v>3</v>
      </c>
      <c r="H73" t="s">
        <v>162</v>
      </c>
      <c r="I73" s="8">
        <f t="shared" ref="I73:I87" si="4">IF(OR(F73="",G73=""),"",F73-G73)</f>
        <v>0</v>
      </c>
      <c r="J73">
        <f t="shared" si="3"/>
        <v>0</v>
      </c>
    </row>
    <row r="74" spans="1:10">
      <c r="A74">
        <v>73</v>
      </c>
      <c r="B74" s="4">
        <v>46201</v>
      </c>
      <c r="C74" s="7" t="s">
        <v>109</v>
      </c>
      <c r="D74" s="6" t="s">
        <v>152</v>
      </c>
      <c r="E74" s="5" t="s">
        <v>117</v>
      </c>
      <c r="F74">
        <v>0</v>
      </c>
      <c r="G74">
        <v>1</v>
      </c>
      <c r="H74" t="s">
        <v>162</v>
      </c>
      <c r="I74" s="8">
        <f t="shared" si="4"/>
        <v>-1</v>
      </c>
      <c r="J74">
        <f t="shared" si="3"/>
        <v>1</v>
      </c>
    </row>
    <row r="75" spans="1:10">
      <c r="A75">
        <v>74</v>
      </c>
      <c r="B75" s="4">
        <v>46202</v>
      </c>
      <c r="C75" s="7" t="s">
        <v>109</v>
      </c>
      <c r="D75" s="5" t="s">
        <v>120</v>
      </c>
      <c r="E75" s="6" t="s">
        <v>154</v>
      </c>
      <c r="F75">
        <v>2</v>
      </c>
      <c r="G75">
        <v>1</v>
      </c>
      <c r="H75" t="s">
        <v>162</v>
      </c>
      <c r="I75" s="8">
        <f t="shared" si="4"/>
        <v>1</v>
      </c>
      <c r="J75">
        <f t="shared" si="3"/>
        <v>1</v>
      </c>
    </row>
    <row r="76" spans="1:10">
      <c r="A76">
        <v>75</v>
      </c>
      <c r="B76" s="4">
        <v>46202</v>
      </c>
      <c r="C76" s="7" t="s">
        <v>109</v>
      </c>
      <c r="D76" s="6" t="s">
        <v>123</v>
      </c>
      <c r="E76" s="6" t="s">
        <v>155</v>
      </c>
      <c r="F76">
        <v>1</v>
      </c>
      <c r="G76">
        <v>1</v>
      </c>
      <c r="H76" t="s">
        <v>163</v>
      </c>
      <c r="I76" s="8">
        <f t="shared" si="4"/>
        <v>0</v>
      </c>
      <c r="J76">
        <f t="shared" si="3"/>
        <v>1</v>
      </c>
    </row>
    <row r="77" spans="1:10">
      <c r="A77">
        <v>76</v>
      </c>
      <c r="B77" s="4">
        <v>46202</v>
      </c>
      <c r="C77" s="7" t="s">
        <v>109</v>
      </c>
      <c r="D77" s="6" t="s">
        <v>124</v>
      </c>
      <c r="E77" s="6" t="s">
        <v>151</v>
      </c>
      <c r="F77">
        <v>1</v>
      </c>
      <c r="G77">
        <v>1</v>
      </c>
      <c r="H77" t="s">
        <v>164</v>
      </c>
      <c r="I77" s="8">
        <f t="shared" si="4"/>
        <v>0</v>
      </c>
      <c r="J77">
        <f t="shared" si="3"/>
        <v>1</v>
      </c>
    </row>
    <row r="78" spans="1:10">
      <c r="A78">
        <v>77</v>
      </c>
      <c r="B78" s="4">
        <v>46203</v>
      </c>
      <c r="C78" s="7" t="s">
        <v>109</v>
      </c>
      <c r="D78" s="6" t="s">
        <v>125</v>
      </c>
      <c r="E78" s="5" t="s">
        <v>147</v>
      </c>
      <c r="F78">
        <v>1</v>
      </c>
      <c r="G78">
        <v>2</v>
      </c>
      <c r="H78" t="s">
        <v>162</v>
      </c>
      <c r="I78" s="8">
        <f t="shared" si="4"/>
        <v>-1</v>
      </c>
      <c r="J78">
        <f t="shared" si="3"/>
        <v>1</v>
      </c>
    </row>
    <row r="79" spans="1:10">
      <c r="A79">
        <v>78</v>
      </c>
      <c r="B79" s="4">
        <v>46203</v>
      </c>
      <c r="C79" s="7" t="s">
        <v>109</v>
      </c>
      <c r="D79" s="5" t="s">
        <v>131</v>
      </c>
      <c r="E79" s="6" t="s">
        <v>126</v>
      </c>
      <c r="F79">
        <v>3</v>
      </c>
      <c r="G79">
        <v>0</v>
      </c>
      <c r="H79" t="s">
        <v>162</v>
      </c>
      <c r="I79" s="8">
        <f t="shared" si="4"/>
        <v>3</v>
      </c>
      <c r="J79">
        <f t="shared" si="3"/>
        <v>1</v>
      </c>
    </row>
    <row r="80" spans="1:10">
      <c r="A80">
        <v>79</v>
      </c>
      <c r="B80" s="4">
        <v>46203</v>
      </c>
      <c r="C80" s="7" t="s">
        <v>109</v>
      </c>
      <c r="D80" s="5" t="s">
        <v>115</v>
      </c>
      <c r="E80" s="6" t="s">
        <v>143</v>
      </c>
      <c r="F80">
        <v>2</v>
      </c>
      <c r="G80">
        <v>0</v>
      </c>
      <c r="H80" t="s">
        <v>162</v>
      </c>
      <c r="I80" s="8">
        <f t="shared" si="4"/>
        <v>2</v>
      </c>
      <c r="J80">
        <f t="shared" si="3"/>
        <v>1</v>
      </c>
    </row>
    <row r="81" spans="1:10">
      <c r="A81">
        <v>80</v>
      </c>
      <c r="B81" s="4">
        <v>46204</v>
      </c>
      <c r="C81" s="7" t="s">
        <v>109</v>
      </c>
      <c r="D81" s="5" t="s">
        <v>136</v>
      </c>
      <c r="E81" s="6" t="s">
        <v>160</v>
      </c>
      <c r="F81">
        <v>2</v>
      </c>
      <c r="G81">
        <v>1</v>
      </c>
      <c r="H81" t="s">
        <v>162</v>
      </c>
      <c r="I81" s="8">
        <f t="shared" si="4"/>
        <v>1</v>
      </c>
      <c r="J81">
        <f t="shared" si="3"/>
        <v>1</v>
      </c>
    </row>
    <row r="82" spans="1:10">
      <c r="A82">
        <v>81</v>
      </c>
      <c r="B82" s="4">
        <v>46204</v>
      </c>
      <c r="C82" s="7" t="s">
        <v>109</v>
      </c>
      <c r="D82" s="5" t="s">
        <v>127</v>
      </c>
      <c r="E82" s="6" t="s">
        <v>156</v>
      </c>
      <c r="F82">
        <v>3</v>
      </c>
      <c r="G82">
        <v>2</v>
      </c>
      <c r="H82" t="s">
        <v>162</v>
      </c>
      <c r="I82" s="8">
        <f t="shared" si="4"/>
        <v>1</v>
      </c>
      <c r="J82">
        <f t="shared" si="3"/>
        <v>1</v>
      </c>
    </row>
    <row r="83" spans="1:10" ht="30">
      <c r="A83">
        <v>82</v>
      </c>
      <c r="B83" s="4">
        <v>46204</v>
      </c>
      <c r="C83" s="7" t="s">
        <v>109</v>
      </c>
      <c r="D83" s="5" t="s">
        <v>118</v>
      </c>
      <c r="E83" s="6" t="s">
        <v>349</v>
      </c>
      <c r="F83">
        <v>2</v>
      </c>
      <c r="G83">
        <v>0</v>
      </c>
      <c r="H83" t="s">
        <v>162</v>
      </c>
      <c r="I83" s="8">
        <f t="shared" si="4"/>
        <v>2</v>
      </c>
      <c r="J83">
        <f t="shared" si="3"/>
        <v>1</v>
      </c>
    </row>
    <row r="84" spans="1:10">
      <c r="A84">
        <v>83</v>
      </c>
      <c r="B84" s="4">
        <v>46205</v>
      </c>
      <c r="C84" s="7" t="s">
        <v>109</v>
      </c>
      <c r="D84" s="5" t="s">
        <v>128</v>
      </c>
      <c r="E84" s="6" t="s">
        <v>134</v>
      </c>
      <c r="F84">
        <v>3</v>
      </c>
      <c r="G84">
        <v>0</v>
      </c>
      <c r="H84" t="s">
        <v>162</v>
      </c>
      <c r="I84" s="8">
        <f t="shared" si="4"/>
        <v>3</v>
      </c>
      <c r="J84">
        <f t="shared" si="3"/>
        <v>1</v>
      </c>
    </row>
    <row r="85" spans="1:10">
      <c r="A85">
        <v>84</v>
      </c>
      <c r="B85" s="4">
        <v>46205</v>
      </c>
      <c r="C85" s="7" t="s">
        <v>109</v>
      </c>
      <c r="D85" s="5" t="s">
        <v>135</v>
      </c>
      <c r="E85" s="6" t="s">
        <v>159</v>
      </c>
      <c r="F85">
        <v>2</v>
      </c>
      <c r="G85">
        <v>1</v>
      </c>
      <c r="H85" t="s">
        <v>162</v>
      </c>
      <c r="I85" s="8">
        <f t="shared" si="4"/>
        <v>1</v>
      </c>
      <c r="J85">
        <f t="shared" si="3"/>
        <v>1</v>
      </c>
    </row>
    <row r="86" spans="1:10">
      <c r="A86">
        <v>85</v>
      </c>
      <c r="B86" s="4">
        <v>46205</v>
      </c>
      <c r="C86" s="7" t="s">
        <v>109</v>
      </c>
      <c r="D86" s="5" t="s">
        <v>140</v>
      </c>
      <c r="E86" s="6" t="s">
        <v>161</v>
      </c>
      <c r="F86">
        <v>2</v>
      </c>
      <c r="G86">
        <v>0</v>
      </c>
      <c r="H86" t="s">
        <v>162</v>
      </c>
      <c r="I86" s="8">
        <f t="shared" si="4"/>
        <v>2</v>
      </c>
      <c r="J86">
        <f t="shared" si="3"/>
        <v>1</v>
      </c>
    </row>
    <row r="87" spans="1:10">
      <c r="A87">
        <v>86</v>
      </c>
      <c r="B87" s="4">
        <v>46206</v>
      </c>
      <c r="C87" s="7" t="s">
        <v>109</v>
      </c>
      <c r="D87" s="6" t="s">
        <v>121</v>
      </c>
      <c r="E87" s="6" t="s">
        <v>158</v>
      </c>
      <c r="F87">
        <v>1</v>
      </c>
      <c r="G87">
        <v>1</v>
      </c>
      <c r="H87" t="s">
        <v>165</v>
      </c>
      <c r="I87" s="8">
        <f t="shared" si="4"/>
        <v>0</v>
      </c>
      <c r="J87">
        <f t="shared" si="3"/>
        <v>1</v>
      </c>
    </row>
    <row r="88" spans="1:10">
      <c r="A88">
        <v>87</v>
      </c>
      <c r="B88" s="4">
        <v>46206</v>
      </c>
      <c r="C88" s="7" t="s">
        <v>109</v>
      </c>
      <c r="D88" s="5" t="s">
        <v>133</v>
      </c>
      <c r="E88" s="6" t="s">
        <v>157</v>
      </c>
      <c r="F88">
        <v>3</v>
      </c>
      <c r="G88">
        <v>2</v>
      </c>
      <c r="H88" t="s">
        <v>162</v>
      </c>
      <c r="I88" s="8">
        <f>IF(OR(F88="",G88=""),"",F88-G88)</f>
        <v>1</v>
      </c>
      <c r="J88">
        <f t="shared" si="3"/>
        <v>1</v>
      </c>
    </row>
    <row r="89" spans="1:10">
      <c r="A89">
        <v>88</v>
      </c>
      <c r="B89" s="4">
        <v>46206</v>
      </c>
      <c r="C89" s="7" t="s">
        <v>109</v>
      </c>
      <c r="D89" s="5" t="s">
        <v>150</v>
      </c>
      <c r="E89" s="6" t="s">
        <v>137</v>
      </c>
      <c r="F89">
        <v>1</v>
      </c>
      <c r="G89">
        <v>0</v>
      </c>
      <c r="H89" t="s">
        <v>162</v>
      </c>
      <c r="I89" s="8">
        <f t="shared" ref="I89:I104" si="5">IF(OR(F89="",G89=""),"",F89-G89)</f>
        <v>1</v>
      </c>
      <c r="J89">
        <f t="shared" si="3"/>
        <v>1</v>
      </c>
    </row>
    <row r="90" spans="1:10">
      <c r="A90">
        <v>89</v>
      </c>
      <c r="B90" s="4">
        <v>46207</v>
      </c>
      <c r="C90" s="7" t="s">
        <v>110</v>
      </c>
      <c r="D90" s="6" t="s">
        <v>117</v>
      </c>
      <c r="E90" s="5" t="s">
        <v>151</v>
      </c>
      <c r="F90">
        <v>0</v>
      </c>
      <c r="G90">
        <v>3</v>
      </c>
      <c r="H90" t="s">
        <v>162</v>
      </c>
      <c r="I90" s="8">
        <f t="shared" si="5"/>
        <v>-3</v>
      </c>
      <c r="J90">
        <f t="shared" si="3"/>
        <v>1</v>
      </c>
    </row>
    <row r="91" spans="1:10">
      <c r="A91">
        <v>90</v>
      </c>
      <c r="B91" s="4">
        <v>46207</v>
      </c>
      <c r="C91" s="7" t="s">
        <v>110</v>
      </c>
      <c r="D91" s="6" t="s">
        <v>155</v>
      </c>
      <c r="E91" s="5" t="s">
        <v>131</v>
      </c>
      <c r="F91">
        <v>0</v>
      </c>
      <c r="G91">
        <v>1</v>
      </c>
      <c r="H91" t="s">
        <v>162</v>
      </c>
      <c r="I91" s="8">
        <f t="shared" si="5"/>
        <v>-1</v>
      </c>
      <c r="J91">
        <f t="shared" si="3"/>
        <v>1</v>
      </c>
    </row>
    <row r="92" spans="1:10">
      <c r="A92">
        <v>91</v>
      </c>
      <c r="B92" s="4">
        <v>46208</v>
      </c>
      <c r="C92" s="7" t="s">
        <v>110</v>
      </c>
      <c r="D92" s="6" t="s">
        <v>120</v>
      </c>
      <c r="E92" s="5" t="s">
        <v>147</v>
      </c>
      <c r="F92">
        <v>1</v>
      </c>
      <c r="G92">
        <v>2</v>
      </c>
      <c r="H92" t="s">
        <v>162</v>
      </c>
      <c r="I92" s="8">
        <f t="shared" si="5"/>
        <v>-1</v>
      </c>
      <c r="J92">
        <f t="shared" si="3"/>
        <v>1</v>
      </c>
    </row>
    <row r="93" spans="1:10">
      <c r="A93">
        <v>92</v>
      </c>
      <c r="B93" s="4">
        <v>46208</v>
      </c>
      <c r="C93" s="7" t="s">
        <v>110</v>
      </c>
      <c r="D93" s="6" t="s">
        <v>115</v>
      </c>
      <c r="E93" s="5" t="s">
        <v>136</v>
      </c>
      <c r="F93">
        <v>2</v>
      </c>
      <c r="G93">
        <v>3</v>
      </c>
      <c r="H93" t="s">
        <v>162</v>
      </c>
      <c r="I93" s="8">
        <f t="shared" si="5"/>
        <v>-1</v>
      </c>
      <c r="J93">
        <f t="shared" si="3"/>
        <v>1</v>
      </c>
    </row>
    <row r="94" spans="1:10">
      <c r="A94">
        <v>93</v>
      </c>
      <c r="B94" s="4">
        <v>46209</v>
      </c>
      <c r="C94" s="7" t="s">
        <v>110</v>
      </c>
      <c r="D94" s="6" t="s">
        <v>135</v>
      </c>
      <c r="E94" s="5" t="s">
        <v>128</v>
      </c>
      <c r="F94">
        <v>0</v>
      </c>
      <c r="G94">
        <v>1</v>
      </c>
      <c r="H94" t="s">
        <v>162</v>
      </c>
      <c r="I94" s="8">
        <f t="shared" si="5"/>
        <v>-1</v>
      </c>
      <c r="J94">
        <f t="shared" si="3"/>
        <v>1</v>
      </c>
    </row>
    <row r="95" spans="1:10">
      <c r="A95">
        <v>94</v>
      </c>
      <c r="B95" s="4">
        <v>46209</v>
      </c>
      <c r="C95" s="7" t="s">
        <v>110</v>
      </c>
      <c r="D95" s="6" t="s">
        <v>118</v>
      </c>
      <c r="E95" s="5" t="s">
        <v>127</v>
      </c>
      <c r="F95">
        <v>1</v>
      </c>
      <c r="G95">
        <v>4</v>
      </c>
      <c r="H95" t="s">
        <v>162</v>
      </c>
      <c r="I95" s="8">
        <f t="shared" si="5"/>
        <v>-3</v>
      </c>
      <c r="J95">
        <f t="shared" si="3"/>
        <v>1</v>
      </c>
    </row>
    <row r="96" spans="1:10">
      <c r="A96">
        <v>95</v>
      </c>
      <c r="B96" s="4">
        <v>46210</v>
      </c>
      <c r="C96" s="7" t="s">
        <v>110</v>
      </c>
      <c r="D96" s="5" t="s">
        <v>133</v>
      </c>
      <c r="E96" s="6" t="s">
        <v>158</v>
      </c>
      <c r="F96">
        <v>3</v>
      </c>
      <c r="G96">
        <v>2</v>
      </c>
      <c r="H96" t="s">
        <v>162</v>
      </c>
      <c r="I96" s="8">
        <f t="shared" si="5"/>
        <v>1</v>
      </c>
      <c r="J96">
        <f t="shared" si="3"/>
        <v>1</v>
      </c>
    </row>
    <row r="97" spans="1:10">
      <c r="A97">
        <v>96</v>
      </c>
      <c r="B97" s="4">
        <v>46210</v>
      </c>
      <c r="C97" s="7" t="s">
        <v>110</v>
      </c>
      <c r="D97" s="6" t="s">
        <v>140</v>
      </c>
      <c r="E97" s="6" t="s">
        <v>150</v>
      </c>
      <c r="F97">
        <v>0</v>
      </c>
      <c r="G97">
        <v>0</v>
      </c>
      <c r="H97" t="s">
        <v>166</v>
      </c>
      <c r="I97" s="8">
        <f t="shared" si="5"/>
        <v>0</v>
      </c>
      <c r="J97">
        <f t="shared" si="3"/>
        <v>1</v>
      </c>
    </row>
    <row r="98" spans="1:10">
      <c r="A98">
        <v>97</v>
      </c>
      <c r="B98" s="4">
        <v>46212</v>
      </c>
      <c r="C98" s="7" t="s">
        <v>111</v>
      </c>
      <c r="D98" s="5" t="s">
        <v>131</v>
      </c>
      <c r="E98" s="6" t="s">
        <v>151</v>
      </c>
      <c r="F98">
        <v>2</v>
      </c>
      <c r="G98">
        <v>0</v>
      </c>
      <c r="H98" t="s">
        <v>162</v>
      </c>
      <c r="I98" s="8">
        <f t="shared" si="5"/>
        <v>2</v>
      </c>
      <c r="J98">
        <f t="shared" si="3"/>
        <v>1</v>
      </c>
    </row>
    <row r="99" spans="1:10">
      <c r="A99">
        <v>98</v>
      </c>
      <c r="B99" s="4">
        <v>46213</v>
      </c>
      <c r="C99" s="7" t="s">
        <v>111</v>
      </c>
      <c r="D99" s="5" t="s">
        <v>128</v>
      </c>
      <c r="E99" s="6" t="s">
        <v>127</v>
      </c>
      <c r="F99">
        <v>2</v>
      </c>
      <c r="G99">
        <v>1</v>
      </c>
      <c r="H99" t="s">
        <v>162</v>
      </c>
      <c r="I99" s="8">
        <f t="shared" si="5"/>
        <v>1</v>
      </c>
      <c r="J99">
        <f t="shared" si="3"/>
        <v>1</v>
      </c>
    </row>
    <row r="100" spans="1:10">
      <c r="A100">
        <v>99</v>
      </c>
      <c r="B100" s="4">
        <v>46214</v>
      </c>
      <c r="C100" s="7" t="s">
        <v>111</v>
      </c>
      <c r="D100" s="6" t="s">
        <v>147</v>
      </c>
      <c r="E100" s="5" t="s">
        <v>136</v>
      </c>
      <c r="F100">
        <v>1</v>
      </c>
      <c r="G100">
        <v>2</v>
      </c>
      <c r="H100" t="s">
        <v>162</v>
      </c>
      <c r="I100" s="8">
        <f t="shared" si="5"/>
        <v>-1</v>
      </c>
      <c r="J100">
        <f t="shared" si="3"/>
        <v>1</v>
      </c>
    </row>
    <row r="101" spans="1:10">
      <c r="A101">
        <v>100</v>
      </c>
      <c r="B101" s="4">
        <v>46214</v>
      </c>
      <c r="C101" s="7" t="s">
        <v>111</v>
      </c>
      <c r="D101" s="5" t="s">
        <v>133</v>
      </c>
      <c r="E101" s="6" t="s">
        <v>140</v>
      </c>
      <c r="F101">
        <v>3</v>
      </c>
      <c r="G101">
        <v>1</v>
      </c>
      <c r="H101" t="s">
        <v>162</v>
      </c>
      <c r="I101" s="8">
        <f t="shared" si="5"/>
        <v>2</v>
      </c>
      <c r="J101">
        <f t="shared" si="3"/>
        <v>1</v>
      </c>
    </row>
    <row r="102" spans="1:10">
      <c r="A102">
        <v>101</v>
      </c>
      <c r="B102" s="4">
        <v>46217</v>
      </c>
      <c r="C102" s="7" t="s">
        <v>112</v>
      </c>
      <c r="D102" s="6" t="s">
        <v>131</v>
      </c>
      <c r="E102" s="5" t="s">
        <v>128</v>
      </c>
      <c r="F102">
        <v>0</v>
      </c>
      <c r="G102">
        <v>2</v>
      </c>
      <c r="H102" t="s">
        <v>162</v>
      </c>
      <c r="I102" s="8">
        <f t="shared" si="5"/>
        <v>-2</v>
      </c>
      <c r="J102">
        <f t="shared" si="3"/>
        <v>1</v>
      </c>
    </row>
    <row r="103" spans="1:10">
      <c r="A103">
        <v>102</v>
      </c>
      <c r="B103" s="4">
        <v>46218</v>
      </c>
      <c r="C103" s="7" t="s">
        <v>112</v>
      </c>
      <c r="D103" s="6" t="s">
        <v>136</v>
      </c>
      <c r="E103" s="5" t="s">
        <v>133</v>
      </c>
      <c r="F103">
        <v>1</v>
      </c>
      <c r="G103">
        <v>2</v>
      </c>
      <c r="H103" t="s">
        <v>162</v>
      </c>
      <c r="I103" s="8">
        <f t="shared" si="5"/>
        <v>-1</v>
      </c>
      <c r="J103">
        <f t="shared" si="3"/>
        <v>1</v>
      </c>
    </row>
    <row r="104" spans="1:10" ht="30">
      <c r="A104">
        <v>103</v>
      </c>
      <c r="B104" s="4">
        <v>46221</v>
      </c>
      <c r="C104" s="7" t="s">
        <v>113</v>
      </c>
      <c r="D104" s="6" t="s">
        <v>131</v>
      </c>
      <c r="E104" s="5" t="s">
        <v>136</v>
      </c>
      <c r="F104">
        <v>4</v>
      </c>
      <c r="G104">
        <v>6</v>
      </c>
      <c r="H104" t="s">
        <v>162</v>
      </c>
      <c r="I104" s="8">
        <f t="shared" si="5"/>
        <v>-2</v>
      </c>
      <c r="J104">
        <f t="shared" si="3"/>
        <v>1</v>
      </c>
    </row>
    <row r="105" spans="1:10">
      <c r="A105">
        <v>104</v>
      </c>
      <c r="B105" s="4">
        <v>46222</v>
      </c>
      <c r="C105" s="7" t="s">
        <v>114</v>
      </c>
      <c r="D105" s="5" t="s">
        <v>128</v>
      </c>
      <c r="E105" s="6" t="s">
        <v>133</v>
      </c>
      <c r="F105">
        <v>1</v>
      </c>
      <c r="G105">
        <v>0</v>
      </c>
      <c r="H105" t="s">
        <v>162</v>
      </c>
      <c r="I105" s="8">
        <f>IF(OR(F105="",G105=""),"",F105-G105)</f>
        <v>1</v>
      </c>
      <c r="J105">
        <f t="shared" si="3"/>
        <v>1</v>
      </c>
    </row>
    <row r="106" spans="1:10">
      <c r="E106" s="6"/>
    </row>
  </sheetData>
  <autoFilter ref="A1:J105" xr:uid="{6F485CE3-DC3A-6E4D-B20B-171911A7CE4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0045A-0AAE-0145-B98A-69D0D422D1C5}">
  <dimension ref="A1:E211"/>
  <sheetViews>
    <sheetView tabSelected="1" workbookViewId="0">
      <pane ySplit="1" topLeftCell="A2" activePane="bottomLeft" state="frozen"/>
      <selection pane="bottomLeft" activeCell="I14" sqref="I14"/>
    </sheetView>
  </sheetViews>
  <sheetFormatPr baseColWidth="10" defaultRowHeight="16"/>
  <cols>
    <col min="2" max="2" width="21.6640625" customWidth="1"/>
    <col min="3" max="3" width="22" customWidth="1"/>
    <col min="4" max="4" width="14.1640625" customWidth="1"/>
    <col min="5" max="5" width="17" style="15" customWidth="1"/>
  </cols>
  <sheetData>
    <row r="1" spans="1:5">
      <c r="A1" t="s">
        <v>350</v>
      </c>
      <c r="B1" t="s">
        <v>314</v>
      </c>
      <c r="C1" t="s">
        <v>351</v>
      </c>
      <c r="D1" t="s">
        <v>352</v>
      </c>
      <c r="E1" s="15" t="s">
        <v>353</v>
      </c>
    </row>
    <row r="2" spans="1:5">
      <c r="A2">
        <v>1</v>
      </c>
      <c r="B2" t="s">
        <v>115</v>
      </c>
      <c r="C2" t="s">
        <v>354</v>
      </c>
      <c r="D2">
        <v>1675.75</v>
      </c>
      <c r="E2" s="15">
        <v>46013</v>
      </c>
    </row>
    <row r="3" spans="1:5">
      <c r="A3">
        <v>2</v>
      </c>
      <c r="B3" t="s">
        <v>152</v>
      </c>
      <c r="C3" t="s">
        <v>354</v>
      </c>
      <c r="D3">
        <v>1426.73</v>
      </c>
      <c r="E3" s="15">
        <v>46013</v>
      </c>
    </row>
    <row r="4" spans="1:5">
      <c r="A4">
        <v>3</v>
      </c>
      <c r="B4" t="s">
        <v>116</v>
      </c>
      <c r="C4" t="s">
        <v>354</v>
      </c>
      <c r="D4">
        <v>1599.45</v>
      </c>
      <c r="E4" s="15">
        <v>46013</v>
      </c>
    </row>
    <row r="5" spans="1:5">
      <c r="A5">
        <v>4</v>
      </c>
      <c r="B5" t="s">
        <v>139</v>
      </c>
      <c r="C5" t="s">
        <v>354</v>
      </c>
      <c r="D5">
        <v>1487</v>
      </c>
      <c r="E5" s="15">
        <v>46013</v>
      </c>
    </row>
    <row r="6" spans="1:5">
      <c r="A6">
        <v>5</v>
      </c>
      <c r="B6" t="s">
        <v>117</v>
      </c>
      <c r="C6" t="s">
        <v>354</v>
      </c>
      <c r="D6">
        <v>1559.15</v>
      </c>
      <c r="E6" s="15">
        <v>46013</v>
      </c>
    </row>
    <row r="7" spans="1:5">
      <c r="A7">
        <v>6</v>
      </c>
      <c r="B7" t="s">
        <v>349</v>
      </c>
      <c r="C7" t="s">
        <v>354</v>
      </c>
      <c r="D7">
        <v>1362.37</v>
      </c>
      <c r="E7" s="15">
        <v>46013</v>
      </c>
    </row>
    <row r="8" spans="1:5">
      <c r="A8">
        <v>7</v>
      </c>
      <c r="B8" t="s">
        <v>119</v>
      </c>
      <c r="C8" t="s">
        <v>354</v>
      </c>
      <c r="D8">
        <v>1454.96</v>
      </c>
      <c r="E8" s="15">
        <v>46013</v>
      </c>
    </row>
    <row r="9" spans="1:5">
      <c r="A9">
        <v>8</v>
      </c>
      <c r="B9" t="s">
        <v>140</v>
      </c>
      <c r="C9" t="s">
        <v>354</v>
      </c>
      <c r="D9">
        <v>1654.69</v>
      </c>
      <c r="E9" s="15">
        <v>46013</v>
      </c>
    </row>
    <row r="10" spans="1:5">
      <c r="A10">
        <v>9</v>
      </c>
      <c r="B10" t="s">
        <v>120</v>
      </c>
      <c r="C10" t="s">
        <v>354</v>
      </c>
      <c r="D10">
        <v>1760.46</v>
      </c>
      <c r="E10" s="15">
        <v>46013</v>
      </c>
    </row>
    <row r="11" spans="1:5">
      <c r="A11">
        <v>10</v>
      </c>
      <c r="B11" t="s">
        <v>151</v>
      </c>
      <c r="C11" t="s">
        <v>354</v>
      </c>
      <c r="D11">
        <v>1716.34</v>
      </c>
      <c r="E11" s="15">
        <v>46013</v>
      </c>
    </row>
    <row r="12" spans="1:5">
      <c r="A12">
        <v>11</v>
      </c>
      <c r="B12" t="s">
        <v>122</v>
      </c>
      <c r="C12" t="s">
        <v>354</v>
      </c>
      <c r="D12">
        <v>1294.49</v>
      </c>
      <c r="E12" s="15">
        <v>46013</v>
      </c>
    </row>
    <row r="13" spans="1:5">
      <c r="A13">
        <v>12</v>
      </c>
      <c r="B13" t="s">
        <v>141</v>
      </c>
      <c r="C13" t="s">
        <v>354</v>
      </c>
      <c r="D13">
        <v>1506.77</v>
      </c>
      <c r="E13" s="15">
        <v>46013</v>
      </c>
    </row>
    <row r="14" spans="1:5">
      <c r="A14">
        <v>13</v>
      </c>
      <c r="B14" t="s">
        <v>118</v>
      </c>
      <c r="C14" t="s">
        <v>354</v>
      </c>
      <c r="D14">
        <v>1681.88</v>
      </c>
      <c r="E14" s="15">
        <v>46013</v>
      </c>
    </row>
    <row r="15" spans="1:5">
      <c r="A15">
        <v>14</v>
      </c>
      <c r="B15" t="s">
        <v>155</v>
      </c>
      <c r="C15" t="s">
        <v>354</v>
      </c>
      <c r="D15">
        <v>1501.5</v>
      </c>
      <c r="E15" s="15">
        <v>46013</v>
      </c>
    </row>
    <row r="16" spans="1:5">
      <c r="A16">
        <v>15</v>
      </c>
      <c r="B16" t="s">
        <v>121</v>
      </c>
      <c r="C16" t="s">
        <v>354</v>
      </c>
      <c r="D16">
        <v>1574.01</v>
      </c>
      <c r="E16" s="15">
        <v>46013</v>
      </c>
    </row>
    <row r="17" spans="1:5">
      <c r="A17">
        <v>16</v>
      </c>
      <c r="B17" t="s">
        <v>142</v>
      </c>
      <c r="C17" t="s">
        <v>354</v>
      </c>
      <c r="D17">
        <v>1582.69</v>
      </c>
      <c r="E17" s="15">
        <v>46013</v>
      </c>
    </row>
    <row r="18" spans="1:5">
      <c r="A18">
        <v>17</v>
      </c>
      <c r="B18" t="s">
        <v>123</v>
      </c>
      <c r="C18" t="s">
        <v>354</v>
      </c>
      <c r="D18">
        <v>1724.15</v>
      </c>
      <c r="E18" s="15">
        <v>46013</v>
      </c>
    </row>
    <row r="19" spans="1:5">
      <c r="A19">
        <v>18</v>
      </c>
      <c r="B19" t="s">
        <v>153</v>
      </c>
      <c r="C19" t="s">
        <v>354</v>
      </c>
      <c r="D19">
        <v>1302.7</v>
      </c>
      <c r="E19" s="15">
        <v>46013</v>
      </c>
    </row>
    <row r="20" spans="1:5">
      <c r="A20">
        <v>19</v>
      </c>
      <c r="B20" t="s">
        <v>125</v>
      </c>
      <c r="C20" t="s">
        <v>354</v>
      </c>
      <c r="D20">
        <v>1489.59</v>
      </c>
      <c r="E20" s="15">
        <v>46013</v>
      </c>
    </row>
    <row r="21" spans="1:5">
      <c r="A21">
        <v>20</v>
      </c>
      <c r="B21" t="s">
        <v>143</v>
      </c>
      <c r="C21" t="s">
        <v>354</v>
      </c>
      <c r="D21">
        <v>1591.73</v>
      </c>
      <c r="E21" s="15">
        <v>46013</v>
      </c>
    </row>
    <row r="22" spans="1:5">
      <c r="A22">
        <v>21</v>
      </c>
      <c r="B22" t="s">
        <v>124</v>
      </c>
      <c r="C22" t="s">
        <v>354</v>
      </c>
      <c r="D22">
        <v>1756.27</v>
      </c>
      <c r="E22" s="15">
        <v>46013</v>
      </c>
    </row>
    <row r="23" spans="1:5">
      <c r="A23">
        <v>22</v>
      </c>
      <c r="B23" t="s">
        <v>154</v>
      </c>
      <c r="C23" t="s">
        <v>354</v>
      </c>
      <c r="D23">
        <v>1650.12</v>
      </c>
      <c r="E23" s="15">
        <v>46013</v>
      </c>
    </row>
    <row r="24" spans="1:5">
      <c r="A24">
        <v>23</v>
      </c>
      <c r="B24" t="s">
        <v>126</v>
      </c>
      <c r="C24" t="s">
        <v>354</v>
      </c>
      <c r="D24">
        <v>1487.13</v>
      </c>
      <c r="E24" s="15">
        <v>46013</v>
      </c>
    </row>
    <row r="25" spans="1:5">
      <c r="A25">
        <v>24</v>
      </c>
      <c r="B25" t="s">
        <v>144</v>
      </c>
      <c r="C25" t="s">
        <v>354</v>
      </c>
      <c r="D25">
        <v>1494.86</v>
      </c>
      <c r="E25" s="15">
        <v>46013</v>
      </c>
    </row>
    <row r="26" spans="1:5">
      <c r="A26">
        <v>25</v>
      </c>
      <c r="B26" t="s">
        <v>127</v>
      </c>
      <c r="C26" t="s">
        <v>354</v>
      </c>
      <c r="D26">
        <v>1730.71</v>
      </c>
      <c r="E26" s="15">
        <v>46013</v>
      </c>
    </row>
    <row r="27" spans="1:5">
      <c r="A27">
        <v>26</v>
      </c>
      <c r="B27" t="s">
        <v>158</v>
      </c>
      <c r="C27" t="s">
        <v>354</v>
      </c>
      <c r="D27">
        <v>1515.18</v>
      </c>
      <c r="E27" s="15">
        <v>46013</v>
      </c>
    </row>
    <row r="28" spans="1:5">
      <c r="A28">
        <v>27</v>
      </c>
      <c r="B28" t="s">
        <v>130</v>
      </c>
      <c r="C28" t="s">
        <v>354</v>
      </c>
      <c r="D28">
        <v>1617.02</v>
      </c>
      <c r="E28" s="15">
        <v>46013</v>
      </c>
    </row>
    <row r="29" spans="1:5">
      <c r="A29">
        <v>28</v>
      </c>
      <c r="B29" t="s">
        <v>146</v>
      </c>
      <c r="C29" t="s">
        <v>354</v>
      </c>
      <c r="D29">
        <v>1279.25</v>
      </c>
      <c r="E29" s="15">
        <v>46013</v>
      </c>
    </row>
    <row r="30" spans="1:5">
      <c r="A30">
        <v>29</v>
      </c>
      <c r="B30" t="s">
        <v>128</v>
      </c>
      <c r="C30" t="s">
        <v>354</v>
      </c>
      <c r="D30">
        <v>1877.18</v>
      </c>
      <c r="E30" s="15">
        <v>46013</v>
      </c>
    </row>
    <row r="31" spans="1:5">
      <c r="A31">
        <v>30</v>
      </c>
      <c r="B31" t="s">
        <v>157</v>
      </c>
      <c r="C31" t="s">
        <v>354</v>
      </c>
      <c r="D31">
        <v>1370.49</v>
      </c>
      <c r="E31" s="15">
        <v>46013</v>
      </c>
    </row>
    <row r="32" spans="1:5">
      <c r="A32">
        <v>31</v>
      </c>
      <c r="B32" t="s">
        <v>129</v>
      </c>
      <c r="C32" t="s">
        <v>354</v>
      </c>
      <c r="D32">
        <v>1429.48</v>
      </c>
      <c r="E32" s="15">
        <v>46013</v>
      </c>
    </row>
    <row r="33" spans="1:5">
      <c r="A33">
        <v>32</v>
      </c>
      <c r="B33" t="s">
        <v>145</v>
      </c>
      <c r="C33" t="s">
        <v>354</v>
      </c>
      <c r="D33">
        <v>1672.62</v>
      </c>
      <c r="E33" s="15">
        <v>46013</v>
      </c>
    </row>
    <row r="34" spans="1:5">
      <c r="A34">
        <v>33</v>
      </c>
      <c r="B34" t="s">
        <v>131</v>
      </c>
      <c r="C34" t="s">
        <v>354</v>
      </c>
      <c r="D34">
        <v>1870</v>
      </c>
      <c r="E34" s="15">
        <v>46013</v>
      </c>
    </row>
    <row r="35" spans="1:5">
      <c r="A35">
        <v>34</v>
      </c>
      <c r="B35" t="s">
        <v>156</v>
      </c>
      <c r="C35" t="s">
        <v>354</v>
      </c>
      <c r="D35">
        <v>1648.07</v>
      </c>
      <c r="E35" s="15">
        <v>46013</v>
      </c>
    </row>
    <row r="36" spans="1:5">
      <c r="A36">
        <v>35</v>
      </c>
      <c r="B36" t="s">
        <v>132</v>
      </c>
      <c r="C36" t="s">
        <v>354</v>
      </c>
      <c r="D36">
        <v>1436.94</v>
      </c>
      <c r="E36" s="15">
        <v>46013</v>
      </c>
    </row>
    <row r="37" spans="1:5">
      <c r="A37">
        <v>36</v>
      </c>
      <c r="B37" t="s">
        <v>147</v>
      </c>
      <c r="C37" t="s">
        <v>354</v>
      </c>
      <c r="D37">
        <v>1553.14</v>
      </c>
      <c r="E37" s="15">
        <v>46013</v>
      </c>
    </row>
    <row r="38" spans="1:5">
      <c r="A38">
        <v>37</v>
      </c>
      <c r="B38" t="s">
        <v>133</v>
      </c>
      <c r="C38" t="s">
        <v>354</v>
      </c>
      <c r="D38">
        <v>1873.33</v>
      </c>
      <c r="E38" s="15">
        <v>46013</v>
      </c>
    </row>
    <row r="39" spans="1:5">
      <c r="A39">
        <v>38</v>
      </c>
      <c r="B39" t="s">
        <v>161</v>
      </c>
      <c r="C39" t="s">
        <v>354</v>
      </c>
      <c r="D39">
        <v>1517.68</v>
      </c>
      <c r="E39" s="15">
        <v>46013</v>
      </c>
    </row>
    <row r="40" spans="1:5">
      <c r="A40">
        <v>39</v>
      </c>
      <c r="B40" t="s">
        <v>134</v>
      </c>
      <c r="C40" t="s">
        <v>354</v>
      </c>
      <c r="D40">
        <v>1585.51</v>
      </c>
      <c r="E40" s="15">
        <v>46013</v>
      </c>
    </row>
    <row r="41" spans="1:5">
      <c r="A41">
        <v>40</v>
      </c>
      <c r="B41" t="s">
        <v>148</v>
      </c>
      <c r="C41" t="s">
        <v>354</v>
      </c>
      <c r="D41">
        <v>1388.93</v>
      </c>
      <c r="E41" s="15">
        <v>46013</v>
      </c>
    </row>
    <row r="42" spans="1:5">
      <c r="A42">
        <v>41</v>
      </c>
      <c r="B42" t="s">
        <v>135</v>
      </c>
      <c r="C42" t="s">
        <v>354</v>
      </c>
      <c r="D42">
        <v>1760.38</v>
      </c>
      <c r="E42" s="15">
        <v>46013</v>
      </c>
    </row>
    <row r="43" spans="1:5">
      <c r="A43">
        <v>42</v>
      </c>
      <c r="B43" t="s">
        <v>160</v>
      </c>
      <c r="C43" t="s">
        <v>354</v>
      </c>
      <c r="D43">
        <v>1444.16</v>
      </c>
      <c r="E43" s="15">
        <v>46013</v>
      </c>
    </row>
    <row r="44" spans="1:5">
      <c r="A44">
        <v>43</v>
      </c>
      <c r="B44" t="s">
        <v>138</v>
      </c>
      <c r="C44" t="s">
        <v>354</v>
      </c>
      <c r="D44">
        <v>1462.03</v>
      </c>
      <c r="E44" s="15">
        <v>46013</v>
      </c>
    </row>
    <row r="45" spans="1:5">
      <c r="A45">
        <v>44</v>
      </c>
      <c r="B45" t="s">
        <v>150</v>
      </c>
      <c r="C45" t="s">
        <v>354</v>
      </c>
      <c r="D45">
        <v>1701.3</v>
      </c>
      <c r="E45" s="15">
        <v>46013</v>
      </c>
    </row>
    <row r="46" spans="1:5">
      <c r="A46">
        <v>45</v>
      </c>
      <c r="B46" t="s">
        <v>136</v>
      </c>
      <c r="C46" t="s">
        <v>354</v>
      </c>
      <c r="D46">
        <v>1834.12</v>
      </c>
      <c r="E46" s="15">
        <v>46013</v>
      </c>
    </row>
    <row r="47" spans="1:5">
      <c r="A47">
        <v>46</v>
      </c>
      <c r="B47" t="s">
        <v>159</v>
      </c>
      <c r="C47" t="s">
        <v>354</v>
      </c>
      <c r="D47">
        <v>1716.88</v>
      </c>
      <c r="E47" s="15">
        <v>46013</v>
      </c>
    </row>
    <row r="48" spans="1:5">
      <c r="A48">
        <v>47</v>
      </c>
      <c r="B48" t="s">
        <v>137</v>
      </c>
      <c r="C48" t="s">
        <v>354</v>
      </c>
      <c r="D48">
        <v>1351.09</v>
      </c>
      <c r="E48" s="15">
        <v>46013</v>
      </c>
    </row>
    <row r="49" spans="1:5">
      <c r="A49">
        <v>48</v>
      </c>
      <c r="B49" t="s">
        <v>149</v>
      </c>
      <c r="C49" t="s">
        <v>354</v>
      </c>
      <c r="D49">
        <v>1540.43</v>
      </c>
      <c r="E49" s="15">
        <v>46013</v>
      </c>
    </row>
    <row r="50" spans="1:5">
      <c r="B50" t="s">
        <v>355</v>
      </c>
      <c r="C50" t="s">
        <v>356</v>
      </c>
      <c r="D50">
        <v>1702.06</v>
      </c>
      <c r="E50" s="15">
        <v>46013</v>
      </c>
    </row>
    <row r="51" spans="1:5">
      <c r="B51" t="s">
        <v>357</v>
      </c>
      <c r="C51" t="s">
        <v>356</v>
      </c>
      <c r="D51">
        <v>1616.75</v>
      </c>
      <c r="E51" s="15">
        <v>46013</v>
      </c>
    </row>
    <row r="52" spans="1:5">
      <c r="B52" t="s">
        <v>358</v>
      </c>
      <c r="C52" t="s">
        <v>356</v>
      </c>
      <c r="D52">
        <v>1557.47</v>
      </c>
      <c r="E52" s="15">
        <v>46013</v>
      </c>
    </row>
    <row r="53" spans="1:5">
      <c r="B53" t="s">
        <v>359</v>
      </c>
      <c r="C53" t="s">
        <v>356</v>
      </c>
      <c r="D53">
        <v>1532.04</v>
      </c>
      <c r="E53" s="15">
        <v>46013</v>
      </c>
    </row>
    <row r="54" spans="1:5">
      <c r="B54" t="s">
        <v>360</v>
      </c>
      <c r="C54" t="s">
        <v>356</v>
      </c>
      <c r="D54">
        <v>1529.71</v>
      </c>
      <c r="E54" s="15">
        <v>46013</v>
      </c>
    </row>
    <row r="55" spans="1:5">
      <c r="B55" t="s">
        <v>361</v>
      </c>
      <c r="C55" t="s">
        <v>356</v>
      </c>
      <c r="D55">
        <v>1524.52</v>
      </c>
      <c r="E55" s="15">
        <v>46013</v>
      </c>
    </row>
    <row r="56" spans="1:5">
      <c r="B56" t="s">
        <v>362</v>
      </c>
      <c r="C56" t="s">
        <v>356</v>
      </c>
      <c r="D56">
        <v>1506.34</v>
      </c>
      <c r="E56" s="15">
        <v>46013</v>
      </c>
    </row>
    <row r="57" spans="1:5">
      <c r="B57" t="s">
        <v>363</v>
      </c>
      <c r="C57" t="s">
        <v>356</v>
      </c>
      <c r="D57">
        <v>1502.46</v>
      </c>
      <c r="E57" s="15">
        <v>46013</v>
      </c>
    </row>
    <row r="58" spans="1:5">
      <c r="B58" t="s">
        <v>364</v>
      </c>
      <c r="C58" t="s">
        <v>356</v>
      </c>
      <c r="D58">
        <v>1496.29</v>
      </c>
      <c r="E58" s="15">
        <v>46013</v>
      </c>
    </row>
    <row r="59" spans="1:5">
      <c r="B59" t="s">
        <v>365</v>
      </c>
      <c r="C59" t="s">
        <v>356</v>
      </c>
      <c r="D59">
        <v>1485.65</v>
      </c>
      <c r="E59" s="15">
        <v>46013</v>
      </c>
    </row>
    <row r="60" spans="1:5">
      <c r="B60" t="s">
        <v>366</v>
      </c>
      <c r="C60" t="s">
        <v>356</v>
      </c>
      <c r="D60">
        <v>1480.38</v>
      </c>
      <c r="E60" s="15">
        <v>46013</v>
      </c>
    </row>
    <row r="61" spans="1:5">
      <c r="B61" t="s">
        <v>367</v>
      </c>
      <c r="C61" t="s">
        <v>356</v>
      </c>
      <c r="D61">
        <v>1465.78</v>
      </c>
      <c r="E61" s="15">
        <v>46013</v>
      </c>
    </row>
    <row r="62" spans="1:5">
      <c r="B62" t="s">
        <v>368</v>
      </c>
      <c r="C62" t="s">
        <v>356</v>
      </c>
      <c r="D62">
        <v>1465.22</v>
      </c>
      <c r="E62" s="15">
        <v>46013</v>
      </c>
    </row>
    <row r="63" spans="1:5">
      <c r="B63" t="s">
        <v>369</v>
      </c>
      <c r="C63" t="s">
        <v>356</v>
      </c>
      <c r="D63">
        <v>1464.24</v>
      </c>
      <c r="E63" s="15">
        <v>46013</v>
      </c>
    </row>
    <row r="64" spans="1:5">
      <c r="B64" t="s">
        <v>370</v>
      </c>
      <c r="C64" t="s">
        <v>356</v>
      </c>
      <c r="D64">
        <v>1459.57</v>
      </c>
      <c r="E64" s="15">
        <v>46013</v>
      </c>
    </row>
    <row r="65" spans="2:5">
      <c r="B65" t="s">
        <v>371</v>
      </c>
      <c r="C65" t="s">
        <v>356</v>
      </c>
      <c r="D65">
        <v>1457.84</v>
      </c>
      <c r="E65" s="15">
        <v>46013</v>
      </c>
    </row>
    <row r="66" spans="2:5">
      <c r="B66" t="s">
        <v>372</v>
      </c>
      <c r="C66" t="s">
        <v>356</v>
      </c>
      <c r="D66">
        <v>1455.03</v>
      </c>
      <c r="E66" s="15">
        <v>46013</v>
      </c>
    </row>
    <row r="67" spans="2:5">
      <c r="B67" t="s">
        <v>373</v>
      </c>
      <c r="C67" t="s">
        <v>356</v>
      </c>
      <c r="D67">
        <v>1447.31</v>
      </c>
      <c r="E67" s="15">
        <v>46013</v>
      </c>
    </row>
    <row r="68" spans="2:5">
      <c r="B68" t="s">
        <v>374</v>
      </c>
      <c r="C68" t="s">
        <v>356</v>
      </c>
      <c r="D68">
        <v>1440.43</v>
      </c>
      <c r="E68" s="15">
        <v>46013</v>
      </c>
    </row>
    <row r="69" spans="2:5">
      <c r="B69" t="s">
        <v>375</v>
      </c>
      <c r="C69" t="s">
        <v>356</v>
      </c>
      <c r="D69">
        <v>1436.04</v>
      </c>
      <c r="E69" s="15">
        <v>46013</v>
      </c>
    </row>
    <row r="70" spans="2:5">
      <c r="B70" t="s">
        <v>376</v>
      </c>
      <c r="C70" t="s">
        <v>356</v>
      </c>
      <c r="D70">
        <v>1404.81</v>
      </c>
      <c r="E70" s="15">
        <v>46013</v>
      </c>
    </row>
    <row r="71" spans="2:5">
      <c r="B71" t="s">
        <v>377</v>
      </c>
      <c r="C71" t="s">
        <v>356</v>
      </c>
      <c r="D71">
        <v>1401.07</v>
      </c>
      <c r="E71" s="15">
        <v>46013</v>
      </c>
    </row>
    <row r="72" spans="2:5">
      <c r="B72" t="s">
        <v>378</v>
      </c>
      <c r="C72" t="s">
        <v>356</v>
      </c>
      <c r="D72">
        <v>1379.54</v>
      </c>
      <c r="E72" s="15">
        <v>46013</v>
      </c>
    </row>
    <row r="73" spans="2:5">
      <c r="B73" t="s">
        <v>379</v>
      </c>
      <c r="C73" t="s">
        <v>356</v>
      </c>
      <c r="D73">
        <v>1378.57</v>
      </c>
      <c r="E73" s="15">
        <v>46013</v>
      </c>
    </row>
    <row r="74" spans="2:5">
      <c r="B74" t="s">
        <v>380</v>
      </c>
      <c r="C74" t="s">
        <v>356</v>
      </c>
      <c r="D74">
        <v>1370.47</v>
      </c>
      <c r="E74" s="15">
        <v>46013</v>
      </c>
    </row>
    <row r="75" spans="2:5">
      <c r="B75" t="s">
        <v>380</v>
      </c>
      <c r="C75" t="s">
        <v>356</v>
      </c>
      <c r="D75">
        <v>1366.02</v>
      </c>
      <c r="E75" s="15">
        <v>46013</v>
      </c>
    </row>
    <row r="76" spans="2:5">
      <c r="B76" t="s">
        <v>381</v>
      </c>
      <c r="C76" t="s">
        <v>356</v>
      </c>
      <c r="D76">
        <v>1362.46</v>
      </c>
      <c r="E76" s="15">
        <v>46013</v>
      </c>
    </row>
    <row r="77" spans="2:5">
      <c r="B77" t="s">
        <v>382</v>
      </c>
      <c r="C77" t="s">
        <v>356</v>
      </c>
      <c r="D77">
        <v>1347.88</v>
      </c>
      <c r="E77" s="15">
        <v>46013</v>
      </c>
    </row>
    <row r="78" spans="2:5">
      <c r="B78" t="s">
        <v>383</v>
      </c>
      <c r="C78" t="s">
        <v>356</v>
      </c>
      <c r="D78">
        <v>1344.72</v>
      </c>
      <c r="E78" s="15">
        <v>46013</v>
      </c>
    </row>
    <row r="79" spans="2:5">
      <c r="B79" t="s">
        <v>384</v>
      </c>
      <c r="C79" t="s">
        <v>356</v>
      </c>
      <c r="D79">
        <v>1341.81</v>
      </c>
      <c r="E79" s="15">
        <v>46013</v>
      </c>
    </row>
    <row r="80" spans="2:5">
      <c r="B80" t="s">
        <v>385</v>
      </c>
      <c r="C80" t="s">
        <v>356</v>
      </c>
      <c r="D80">
        <v>1329.56</v>
      </c>
      <c r="E80" s="15">
        <v>46013</v>
      </c>
    </row>
    <row r="81" spans="2:5">
      <c r="B81" t="s">
        <v>386</v>
      </c>
      <c r="C81" t="s">
        <v>356</v>
      </c>
      <c r="D81">
        <v>1328.14</v>
      </c>
      <c r="E81" s="15">
        <v>46013</v>
      </c>
    </row>
    <row r="82" spans="2:5">
      <c r="B82" t="s">
        <v>387</v>
      </c>
      <c r="C82" t="s">
        <v>356</v>
      </c>
      <c r="D82">
        <v>1321.25</v>
      </c>
      <c r="E82" s="15">
        <v>46013</v>
      </c>
    </row>
    <row r="83" spans="2:5">
      <c r="B83" t="s">
        <v>388</v>
      </c>
      <c r="C83" t="s">
        <v>356</v>
      </c>
      <c r="D83">
        <v>1313.46</v>
      </c>
      <c r="E83" s="15">
        <v>46013</v>
      </c>
    </row>
    <row r="84" spans="2:5">
      <c r="B84" t="s">
        <v>389</v>
      </c>
      <c r="C84" t="s">
        <v>356</v>
      </c>
      <c r="D84">
        <v>1308.8399999999999</v>
      </c>
      <c r="E84" s="15">
        <v>46013</v>
      </c>
    </row>
    <row r="85" spans="2:5">
      <c r="B85" t="s">
        <v>390</v>
      </c>
      <c r="C85" t="s">
        <v>356</v>
      </c>
      <c r="D85">
        <v>1307.05</v>
      </c>
      <c r="E85" s="15">
        <v>46013</v>
      </c>
    </row>
    <row r="86" spans="2:5">
      <c r="B86" t="s">
        <v>391</v>
      </c>
      <c r="C86" t="s">
        <v>356</v>
      </c>
      <c r="D86">
        <v>1297.0899999999999</v>
      </c>
      <c r="E86" s="15">
        <v>46013</v>
      </c>
    </row>
    <row r="87" spans="2:5">
      <c r="B87" t="s">
        <v>392</v>
      </c>
      <c r="C87" t="s">
        <v>356</v>
      </c>
      <c r="D87">
        <v>1288.01</v>
      </c>
      <c r="E87" s="15">
        <v>46013</v>
      </c>
    </row>
    <row r="88" spans="2:5">
      <c r="B88" t="s">
        <v>393</v>
      </c>
      <c r="C88" t="s">
        <v>356</v>
      </c>
      <c r="D88">
        <v>1282.6199999999999</v>
      </c>
      <c r="E88" s="15">
        <v>46013</v>
      </c>
    </row>
    <row r="89" spans="2:5">
      <c r="B89" t="s">
        <v>394</v>
      </c>
      <c r="C89" t="s">
        <v>356</v>
      </c>
      <c r="D89">
        <v>1272.19</v>
      </c>
      <c r="E89" s="15">
        <v>46013</v>
      </c>
    </row>
    <row r="90" spans="2:5">
      <c r="B90" t="s">
        <v>395</v>
      </c>
      <c r="C90" t="s">
        <v>356</v>
      </c>
      <c r="D90">
        <v>1271.54</v>
      </c>
      <c r="E90" s="15">
        <v>46013</v>
      </c>
    </row>
    <row r="91" spans="2:5">
      <c r="B91" t="s">
        <v>396</v>
      </c>
      <c r="C91" t="s">
        <v>356</v>
      </c>
      <c r="D91">
        <v>1258.53</v>
      </c>
      <c r="E91" s="15">
        <v>46013</v>
      </c>
    </row>
    <row r="92" spans="2:5">
      <c r="B92" t="s">
        <v>397</v>
      </c>
      <c r="C92" t="s">
        <v>356</v>
      </c>
      <c r="D92">
        <v>1258.4000000000001</v>
      </c>
      <c r="E92" s="15">
        <v>46013</v>
      </c>
    </row>
    <row r="93" spans="2:5">
      <c r="B93" t="s">
        <v>398</v>
      </c>
      <c r="C93" t="s">
        <v>356</v>
      </c>
      <c r="D93">
        <v>1255.72</v>
      </c>
      <c r="E93" s="15">
        <v>46013</v>
      </c>
    </row>
    <row r="94" spans="2:5">
      <c r="B94" t="s">
        <v>399</v>
      </c>
      <c r="C94" t="s">
        <v>356</v>
      </c>
      <c r="D94">
        <v>1249.06</v>
      </c>
      <c r="E94" s="15">
        <v>46013</v>
      </c>
    </row>
    <row r="95" spans="2:5">
      <c r="B95" t="s">
        <v>400</v>
      </c>
      <c r="C95" t="s">
        <v>356</v>
      </c>
      <c r="D95">
        <v>1245.77</v>
      </c>
      <c r="E95" s="15">
        <v>46013</v>
      </c>
    </row>
    <row r="96" spans="2:5">
      <c r="B96" t="s">
        <v>401</v>
      </c>
      <c r="C96" t="s">
        <v>356</v>
      </c>
      <c r="D96">
        <v>1244.73</v>
      </c>
      <c r="E96" s="15">
        <v>46013</v>
      </c>
    </row>
    <row r="97" spans="2:5">
      <c r="B97" t="s">
        <v>402</v>
      </c>
      <c r="C97" t="s">
        <v>356</v>
      </c>
      <c r="D97">
        <v>1243.27</v>
      </c>
      <c r="E97" s="15">
        <v>46013</v>
      </c>
    </row>
    <row r="98" spans="2:5">
      <c r="B98" t="s">
        <v>403</v>
      </c>
      <c r="C98" t="s">
        <v>356</v>
      </c>
      <c r="D98">
        <v>1229.0899999999999</v>
      </c>
      <c r="E98" s="15">
        <v>46013</v>
      </c>
    </row>
    <row r="99" spans="2:5">
      <c r="B99" t="s">
        <v>404</v>
      </c>
      <c r="C99" t="s">
        <v>356</v>
      </c>
      <c r="D99">
        <v>1227.32</v>
      </c>
      <c r="E99" s="15">
        <v>46013</v>
      </c>
    </row>
    <row r="100" spans="2:5">
      <c r="B100" t="s">
        <v>405</v>
      </c>
      <c r="C100" t="s">
        <v>356</v>
      </c>
      <c r="D100">
        <v>1227.0899999999999</v>
      </c>
      <c r="E100" s="15">
        <v>46013</v>
      </c>
    </row>
    <row r="101" spans="2:5">
      <c r="B101" t="s">
        <v>406</v>
      </c>
      <c r="C101" t="s">
        <v>356</v>
      </c>
      <c r="D101">
        <v>1226.6500000000001</v>
      </c>
      <c r="E101" s="15">
        <v>46013</v>
      </c>
    </row>
    <row r="102" spans="2:5">
      <c r="B102" t="s">
        <v>407</v>
      </c>
      <c r="C102" t="s">
        <v>356</v>
      </c>
      <c r="D102">
        <v>1224.93</v>
      </c>
      <c r="E102" s="15">
        <v>46013</v>
      </c>
    </row>
    <row r="103" spans="2:5">
      <c r="B103" t="s">
        <v>408</v>
      </c>
      <c r="C103" t="s">
        <v>356</v>
      </c>
      <c r="D103">
        <v>1223.48</v>
      </c>
      <c r="E103" s="15">
        <v>46013</v>
      </c>
    </row>
    <row r="104" spans="2:5">
      <c r="B104" t="s">
        <v>409</v>
      </c>
      <c r="C104" t="s">
        <v>356</v>
      </c>
      <c r="D104">
        <v>1218.9100000000001</v>
      </c>
      <c r="E104" s="15">
        <v>46013</v>
      </c>
    </row>
    <row r="105" spans="2:5">
      <c r="B105" t="s">
        <v>410</v>
      </c>
      <c r="C105" t="s">
        <v>356</v>
      </c>
      <c r="D105">
        <v>1201.22</v>
      </c>
      <c r="E105" s="15">
        <v>46013</v>
      </c>
    </row>
    <row r="106" spans="2:5">
      <c r="B106" t="s">
        <v>411</v>
      </c>
      <c r="C106" t="s">
        <v>356</v>
      </c>
      <c r="D106">
        <v>1198.8699999999999</v>
      </c>
      <c r="E106" s="15">
        <v>46013</v>
      </c>
    </row>
    <row r="107" spans="2:5">
      <c r="B107" t="s">
        <v>412</v>
      </c>
      <c r="C107" t="s">
        <v>356</v>
      </c>
      <c r="D107">
        <v>1196.08</v>
      </c>
      <c r="E107" s="15">
        <v>46013</v>
      </c>
    </row>
    <row r="108" spans="2:5">
      <c r="B108" t="s">
        <v>413</v>
      </c>
      <c r="C108" t="s">
        <v>356</v>
      </c>
      <c r="D108">
        <v>1189.51</v>
      </c>
      <c r="E108" s="15">
        <v>46013</v>
      </c>
    </row>
    <row r="109" spans="2:5">
      <c r="B109" t="s">
        <v>414</v>
      </c>
      <c r="C109" t="s">
        <v>356</v>
      </c>
      <c r="D109">
        <v>1187.96</v>
      </c>
      <c r="E109" s="15">
        <v>46013</v>
      </c>
    </row>
    <row r="110" spans="2:5">
      <c r="B110" t="s">
        <v>415</v>
      </c>
      <c r="C110" t="s">
        <v>356</v>
      </c>
      <c r="D110">
        <v>1186.4100000000001</v>
      </c>
      <c r="E110" s="15">
        <v>46013</v>
      </c>
    </row>
    <row r="111" spans="2:5">
      <c r="B111" t="s">
        <v>416</v>
      </c>
      <c r="C111" t="s">
        <v>356</v>
      </c>
      <c r="D111">
        <v>1185.0899999999999</v>
      </c>
      <c r="E111" s="15">
        <v>46013</v>
      </c>
    </row>
    <row r="112" spans="2:5">
      <c r="B112" t="s">
        <v>417</v>
      </c>
      <c r="C112" t="s">
        <v>356</v>
      </c>
      <c r="D112">
        <v>1183.06</v>
      </c>
      <c r="E112" s="15">
        <v>46013</v>
      </c>
    </row>
    <row r="113" spans="2:5">
      <c r="B113" t="s">
        <v>418</v>
      </c>
      <c r="C113" t="s">
        <v>356</v>
      </c>
      <c r="D113">
        <v>1181.22</v>
      </c>
      <c r="E113" s="15">
        <v>46013</v>
      </c>
    </row>
    <row r="114" spans="2:5">
      <c r="B114" t="s">
        <v>419</v>
      </c>
      <c r="C114" t="s">
        <v>356</v>
      </c>
      <c r="D114">
        <v>1179.54</v>
      </c>
      <c r="E114" s="15">
        <v>46013</v>
      </c>
    </row>
    <row r="115" spans="2:5">
      <c r="B115" t="s">
        <v>420</v>
      </c>
      <c r="C115" t="s">
        <v>356</v>
      </c>
      <c r="D115">
        <v>1173</v>
      </c>
      <c r="E115" s="15">
        <v>46013</v>
      </c>
    </row>
    <row r="116" spans="2:5">
      <c r="B116" t="s">
        <v>421</v>
      </c>
      <c r="C116" t="s">
        <v>356</v>
      </c>
      <c r="D116">
        <v>1171.3499999999999</v>
      </c>
      <c r="E116" s="15">
        <v>46013</v>
      </c>
    </row>
    <row r="117" spans="2:5">
      <c r="B117" t="s">
        <v>422</v>
      </c>
      <c r="C117" t="s">
        <v>356</v>
      </c>
      <c r="D117">
        <v>1161.55</v>
      </c>
      <c r="E117" s="15">
        <v>46013</v>
      </c>
    </row>
    <row r="118" spans="2:5">
      <c r="B118" t="s">
        <v>423</v>
      </c>
      <c r="C118" t="s">
        <v>356</v>
      </c>
      <c r="D118">
        <v>1154.44</v>
      </c>
      <c r="E118" s="15">
        <v>46013</v>
      </c>
    </row>
    <row r="119" spans="2:5">
      <c r="B119" t="s">
        <v>424</v>
      </c>
      <c r="C119" t="s">
        <v>356</v>
      </c>
      <c r="D119">
        <v>1153.22</v>
      </c>
      <c r="E119" s="15">
        <v>46013</v>
      </c>
    </row>
    <row r="120" spans="2:5">
      <c r="B120" t="s">
        <v>425</v>
      </c>
      <c r="C120" t="s">
        <v>356</v>
      </c>
      <c r="D120">
        <v>1151.05</v>
      </c>
      <c r="E120" s="15">
        <v>46013</v>
      </c>
    </row>
    <row r="121" spans="2:5">
      <c r="B121" t="s">
        <v>426</v>
      </c>
      <c r="C121" t="s">
        <v>356</v>
      </c>
      <c r="D121">
        <v>1149.0999999999999</v>
      </c>
      <c r="E121" s="15">
        <v>46013</v>
      </c>
    </row>
    <row r="122" spans="2:5">
      <c r="B122" t="s">
        <v>427</v>
      </c>
      <c r="C122" t="s">
        <v>356</v>
      </c>
      <c r="D122">
        <v>1145.8900000000001</v>
      </c>
      <c r="E122" s="15">
        <v>46013</v>
      </c>
    </row>
    <row r="123" spans="2:5">
      <c r="B123" t="s">
        <v>428</v>
      </c>
      <c r="C123" t="s">
        <v>356</v>
      </c>
      <c r="D123">
        <v>1144.73</v>
      </c>
      <c r="E123" s="15">
        <v>46013</v>
      </c>
    </row>
    <row r="124" spans="2:5">
      <c r="B124" t="s">
        <v>429</v>
      </c>
      <c r="C124" t="s">
        <v>356</v>
      </c>
      <c r="D124">
        <v>1140.54</v>
      </c>
      <c r="E124" s="15">
        <v>46013</v>
      </c>
    </row>
    <row r="125" spans="2:5">
      <c r="B125" t="s">
        <v>430</v>
      </c>
      <c r="C125" t="s">
        <v>356</v>
      </c>
      <c r="D125">
        <v>1140.3499999999999</v>
      </c>
      <c r="E125" s="15">
        <v>46013</v>
      </c>
    </row>
    <row r="126" spans="2:5">
      <c r="B126" t="s">
        <v>431</v>
      </c>
      <c r="C126" t="s">
        <v>356</v>
      </c>
      <c r="D126">
        <v>1135.42</v>
      </c>
      <c r="E126" s="15">
        <v>46013</v>
      </c>
    </row>
    <row r="127" spans="2:5">
      <c r="B127" t="s">
        <v>432</v>
      </c>
      <c r="C127" t="s">
        <v>356</v>
      </c>
      <c r="D127">
        <v>1133.75</v>
      </c>
      <c r="E127" s="15">
        <v>46013</v>
      </c>
    </row>
    <row r="128" spans="2:5">
      <c r="B128" t="s">
        <v>433</v>
      </c>
      <c r="C128" t="s">
        <v>356</v>
      </c>
      <c r="D128">
        <v>1132.97</v>
      </c>
      <c r="E128" s="15">
        <v>46013</v>
      </c>
    </row>
    <row r="129" spans="2:5">
      <c r="B129" t="s">
        <v>434</v>
      </c>
      <c r="C129" t="s">
        <v>356</v>
      </c>
      <c r="D129">
        <v>1128.5</v>
      </c>
      <c r="E129" s="15">
        <v>46013</v>
      </c>
    </row>
    <row r="130" spans="2:5">
      <c r="B130" t="s">
        <v>435</v>
      </c>
      <c r="C130" t="s">
        <v>356</v>
      </c>
      <c r="D130">
        <v>1123.69</v>
      </c>
      <c r="E130" s="15">
        <v>46013</v>
      </c>
    </row>
    <row r="131" spans="2:5">
      <c r="B131" t="s">
        <v>436</v>
      </c>
      <c r="C131" t="s">
        <v>356</v>
      </c>
      <c r="D131">
        <v>1123.1099999999999</v>
      </c>
      <c r="E131" s="15">
        <v>46013</v>
      </c>
    </row>
    <row r="132" spans="2:5">
      <c r="B132" t="s">
        <v>437</v>
      </c>
      <c r="C132" t="s">
        <v>356</v>
      </c>
      <c r="D132">
        <v>1117.78</v>
      </c>
      <c r="E132" s="15">
        <v>46013</v>
      </c>
    </row>
    <row r="133" spans="2:5">
      <c r="B133" t="s">
        <v>438</v>
      </c>
      <c r="C133" t="s">
        <v>356</v>
      </c>
      <c r="D133">
        <v>1116.8599999999999</v>
      </c>
      <c r="E133" s="15">
        <v>46013</v>
      </c>
    </row>
    <row r="134" spans="2:5">
      <c r="B134" t="s">
        <v>439</v>
      </c>
      <c r="C134" t="s">
        <v>356</v>
      </c>
      <c r="D134">
        <v>1108.0899999999999</v>
      </c>
      <c r="E134" s="15">
        <v>46013</v>
      </c>
    </row>
    <row r="135" spans="2:5">
      <c r="B135" t="s">
        <v>440</v>
      </c>
      <c r="C135" t="s">
        <v>356</v>
      </c>
      <c r="D135">
        <v>1105.96</v>
      </c>
      <c r="E135" s="15">
        <v>46013</v>
      </c>
    </row>
    <row r="136" spans="2:5">
      <c r="B136" t="s">
        <v>441</v>
      </c>
      <c r="C136" t="s">
        <v>356</v>
      </c>
      <c r="D136">
        <v>1105.0999999999999</v>
      </c>
      <c r="E136" s="15">
        <v>46013</v>
      </c>
    </row>
    <row r="137" spans="2:5">
      <c r="B137" t="s">
        <v>442</v>
      </c>
      <c r="C137" t="s">
        <v>356</v>
      </c>
      <c r="D137">
        <v>1090.95</v>
      </c>
      <c r="E137" s="15">
        <v>46013</v>
      </c>
    </row>
    <row r="138" spans="2:5">
      <c r="B138" t="s">
        <v>443</v>
      </c>
      <c r="C138" t="s">
        <v>356</v>
      </c>
      <c r="D138">
        <v>1087.52</v>
      </c>
      <c r="E138" s="15">
        <v>46013</v>
      </c>
    </row>
    <row r="139" spans="2:5">
      <c r="B139" t="s">
        <v>444</v>
      </c>
      <c r="C139" t="s">
        <v>356</v>
      </c>
      <c r="D139">
        <v>1084.56</v>
      </c>
      <c r="E139" s="15">
        <v>46013</v>
      </c>
    </row>
    <row r="140" spans="2:5">
      <c r="B140" t="s">
        <v>445</v>
      </c>
      <c r="C140" t="s">
        <v>356</v>
      </c>
      <c r="D140">
        <v>1083.57</v>
      </c>
      <c r="E140" s="15">
        <v>46013</v>
      </c>
    </row>
    <row r="141" spans="2:5">
      <c r="B141" t="s">
        <v>446</v>
      </c>
      <c r="C141" t="s">
        <v>356</v>
      </c>
      <c r="D141">
        <v>1082.68</v>
      </c>
      <c r="E141" s="15">
        <v>46013</v>
      </c>
    </row>
    <row r="142" spans="2:5">
      <c r="B142" t="s">
        <v>447</v>
      </c>
      <c r="C142" t="s">
        <v>356</v>
      </c>
      <c r="D142">
        <v>1081.46</v>
      </c>
      <c r="E142" s="15">
        <v>46013</v>
      </c>
    </row>
    <row r="143" spans="2:5">
      <c r="B143" t="s">
        <v>448</v>
      </c>
      <c r="C143" t="s">
        <v>356</v>
      </c>
      <c r="D143">
        <v>1079.52</v>
      </c>
      <c r="E143" s="15">
        <v>46013</v>
      </c>
    </row>
    <row r="144" spans="2:5">
      <c r="B144" t="s">
        <v>449</v>
      </c>
      <c r="C144" t="s">
        <v>356</v>
      </c>
      <c r="D144">
        <v>1077.49</v>
      </c>
      <c r="E144" s="15">
        <v>46013</v>
      </c>
    </row>
    <row r="145" spans="2:5">
      <c r="B145" t="s">
        <v>450</v>
      </c>
      <c r="C145" t="s">
        <v>356</v>
      </c>
      <c r="D145">
        <v>1065.97</v>
      </c>
      <c r="E145" s="15">
        <v>46013</v>
      </c>
    </row>
    <row r="146" spans="2:5">
      <c r="B146" t="s">
        <v>451</v>
      </c>
      <c r="C146" t="s">
        <v>356</v>
      </c>
      <c r="D146">
        <v>1060.22</v>
      </c>
      <c r="E146" s="15">
        <v>46013</v>
      </c>
    </row>
    <row r="147" spans="2:5">
      <c r="B147" t="s">
        <v>452</v>
      </c>
      <c r="C147" t="s">
        <v>356</v>
      </c>
      <c r="D147">
        <v>1056.3399999999999</v>
      </c>
      <c r="E147" s="15">
        <v>46013</v>
      </c>
    </row>
    <row r="148" spans="2:5">
      <c r="B148" t="s">
        <v>453</v>
      </c>
      <c r="C148" t="s">
        <v>356</v>
      </c>
      <c r="D148">
        <v>1055.3599999999999</v>
      </c>
      <c r="E148" s="15">
        <v>46013</v>
      </c>
    </row>
    <row r="149" spans="2:5">
      <c r="B149" t="s">
        <v>454</v>
      </c>
      <c r="C149" t="s">
        <v>356</v>
      </c>
      <c r="D149">
        <v>1050.3499999999999</v>
      </c>
      <c r="E149" s="15">
        <v>46013</v>
      </c>
    </row>
    <row r="150" spans="2:5">
      <c r="B150" t="s">
        <v>455</v>
      </c>
      <c r="C150" t="s">
        <v>356</v>
      </c>
      <c r="D150">
        <v>1049.49</v>
      </c>
      <c r="E150" s="15">
        <v>46013</v>
      </c>
    </row>
    <row r="151" spans="2:5">
      <c r="B151" t="s">
        <v>456</v>
      </c>
      <c r="C151" t="s">
        <v>356</v>
      </c>
      <c r="D151">
        <v>1042.6199999999999</v>
      </c>
      <c r="E151" s="15">
        <v>46013</v>
      </c>
    </row>
    <row r="152" spans="2:5">
      <c r="B152" t="s">
        <v>457</v>
      </c>
      <c r="C152" t="s">
        <v>356</v>
      </c>
      <c r="D152">
        <v>1041.9000000000001</v>
      </c>
      <c r="E152" s="15">
        <v>46013</v>
      </c>
    </row>
    <row r="153" spans="2:5">
      <c r="B153" t="s">
        <v>458</v>
      </c>
      <c r="C153" t="s">
        <v>356</v>
      </c>
      <c r="D153">
        <v>1039.8599999999999</v>
      </c>
      <c r="E153" s="15">
        <v>46013</v>
      </c>
    </row>
    <row r="154" spans="2:5">
      <c r="B154" t="s">
        <v>459</v>
      </c>
      <c r="C154" t="s">
        <v>356</v>
      </c>
      <c r="D154">
        <v>1038.1400000000001</v>
      </c>
      <c r="E154" s="15">
        <v>46013</v>
      </c>
    </row>
    <row r="155" spans="2:5">
      <c r="B155" t="s">
        <v>460</v>
      </c>
      <c r="C155" t="s">
        <v>356</v>
      </c>
      <c r="D155">
        <v>1035.25</v>
      </c>
      <c r="E155" s="15">
        <v>46013</v>
      </c>
    </row>
    <row r="156" spans="2:5">
      <c r="B156" t="s">
        <v>461</v>
      </c>
      <c r="C156" t="s">
        <v>356</v>
      </c>
      <c r="D156">
        <v>1029.7</v>
      </c>
      <c r="E156" s="15">
        <v>46013</v>
      </c>
    </row>
    <row r="157" spans="2:5">
      <c r="B157" t="s">
        <v>462</v>
      </c>
      <c r="C157" t="s">
        <v>356</v>
      </c>
      <c r="D157">
        <v>1020.07</v>
      </c>
      <c r="E157" s="15">
        <v>46013</v>
      </c>
    </row>
    <row r="158" spans="2:5">
      <c r="B158" t="s">
        <v>463</v>
      </c>
      <c r="C158" t="s">
        <v>356</v>
      </c>
      <c r="D158">
        <v>1019.04</v>
      </c>
      <c r="E158" s="15">
        <v>46013</v>
      </c>
    </row>
    <row r="159" spans="2:5">
      <c r="B159" t="s">
        <v>464</v>
      </c>
      <c r="C159" t="s">
        <v>356</v>
      </c>
      <c r="D159">
        <v>1012.64</v>
      </c>
      <c r="E159" s="15">
        <v>46013</v>
      </c>
    </row>
    <row r="160" spans="2:5">
      <c r="B160" t="s">
        <v>465</v>
      </c>
      <c r="C160" t="s">
        <v>356</v>
      </c>
      <c r="D160">
        <v>1010.52</v>
      </c>
      <c r="E160" s="15">
        <v>46013</v>
      </c>
    </row>
    <row r="161" spans="2:5">
      <c r="B161" t="s">
        <v>466</v>
      </c>
      <c r="C161" t="s">
        <v>356</v>
      </c>
      <c r="D161">
        <v>997.01</v>
      </c>
      <c r="E161" s="15">
        <v>46013</v>
      </c>
    </row>
    <row r="162" spans="2:5">
      <c r="B162" t="s">
        <v>467</v>
      </c>
      <c r="C162" t="s">
        <v>356</v>
      </c>
      <c r="D162">
        <v>996.59</v>
      </c>
      <c r="E162" s="15">
        <v>46013</v>
      </c>
    </row>
    <row r="163" spans="2:5">
      <c r="B163" t="s">
        <v>468</v>
      </c>
      <c r="C163" t="s">
        <v>356</v>
      </c>
      <c r="D163">
        <v>991.19</v>
      </c>
      <c r="E163" s="15">
        <v>46013</v>
      </c>
    </row>
    <row r="164" spans="2:5">
      <c r="B164" t="s">
        <v>469</v>
      </c>
      <c r="C164" t="s">
        <v>356</v>
      </c>
      <c r="D164">
        <v>990.81</v>
      </c>
      <c r="E164" s="15">
        <v>46013</v>
      </c>
    </row>
    <row r="165" spans="2:5">
      <c r="B165" t="s">
        <v>470</v>
      </c>
      <c r="C165" t="s">
        <v>356</v>
      </c>
      <c r="D165">
        <v>989.59</v>
      </c>
      <c r="E165" s="15">
        <v>46013</v>
      </c>
    </row>
    <row r="166" spans="2:5">
      <c r="B166" t="s">
        <v>471</v>
      </c>
      <c r="C166" t="s">
        <v>356</v>
      </c>
      <c r="D166">
        <v>986.58</v>
      </c>
      <c r="E166" s="15">
        <v>46013</v>
      </c>
    </row>
    <row r="167" spans="2:5">
      <c r="B167" t="s">
        <v>472</v>
      </c>
      <c r="C167" t="s">
        <v>356</v>
      </c>
      <c r="D167">
        <v>980.49</v>
      </c>
      <c r="E167" s="15">
        <v>46013</v>
      </c>
    </row>
    <row r="168" spans="2:5">
      <c r="B168" t="s">
        <v>473</v>
      </c>
      <c r="C168" t="s">
        <v>356</v>
      </c>
      <c r="D168">
        <v>980.28</v>
      </c>
      <c r="E168" s="15">
        <v>46013</v>
      </c>
    </row>
    <row r="169" spans="2:5">
      <c r="B169" t="s">
        <v>474</v>
      </c>
      <c r="C169" t="s">
        <v>356</v>
      </c>
      <c r="D169">
        <v>977.5</v>
      </c>
      <c r="E169" s="15">
        <v>46013</v>
      </c>
    </row>
    <row r="170" spans="2:5">
      <c r="B170" t="s">
        <v>475</v>
      </c>
      <c r="C170" t="s">
        <v>356</v>
      </c>
      <c r="D170">
        <v>976.87</v>
      </c>
      <c r="E170" s="15">
        <v>46013</v>
      </c>
    </row>
    <row r="171" spans="2:5">
      <c r="B171" t="s">
        <v>476</v>
      </c>
      <c r="C171" t="s">
        <v>356</v>
      </c>
      <c r="D171">
        <v>974.9</v>
      </c>
      <c r="E171" s="15">
        <v>46013</v>
      </c>
    </row>
    <row r="172" spans="2:5">
      <c r="B172" t="s">
        <v>477</v>
      </c>
      <c r="C172" t="s">
        <v>356</v>
      </c>
      <c r="D172">
        <v>963.74</v>
      </c>
      <c r="E172" s="15">
        <v>46013</v>
      </c>
    </row>
    <row r="173" spans="2:5">
      <c r="B173" t="s">
        <v>478</v>
      </c>
      <c r="C173" t="s">
        <v>356</v>
      </c>
      <c r="D173">
        <v>949.44</v>
      </c>
      <c r="E173" s="15">
        <v>46013</v>
      </c>
    </row>
    <row r="174" spans="2:5">
      <c r="B174" t="s">
        <v>479</v>
      </c>
      <c r="C174" t="s">
        <v>356</v>
      </c>
      <c r="D174">
        <v>945.02</v>
      </c>
      <c r="E174" s="15">
        <v>46013</v>
      </c>
    </row>
    <row r="175" spans="2:5">
      <c r="B175" t="s">
        <v>480</v>
      </c>
      <c r="C175" t="s">
        <v>356</v>
      </c>
      <c r="D175">
        <v>938.21</v>
      </c>
      <c r="E175" s="15">
        <v>46013</v>
      </c>
    </row>
    <row r="176" spans="2:5">
      <c r="B176" t="s">
        <v>481</v>
      </c>
      <c r="C176" t="s">
        <v>356</v>
      </c>
      <c r="D176">
        <v>916.75</v>
      </c>
      <c r="E176" s="15">
        <v>46013</v>
      </c>
    </row>
    <row r="177" spans="2:5">
      <c r="B177" t="s">
        <v>482</v>
      </c>
      <c r="C177" t="s">
        <v>356</v>
      </c>
      <c r="D177">
        <v>915.51</v>
      </c>
      <c r="E177" s="15">
        <v>46013</v>
      </c>
    </row>
    <row r="178" spans="2:5">
      <c r="B178" t="s">
        <v>483</v>
      </c>
      <c r="C178" t="s">
        <v>356</v>
      </c>
      <c r="D178">
        <v>914.65</v>
      </c>
      <c r="E178" s="15">
        <v>46013</v>
      </c>
    </row>
    <row r="179" spans="2:5">
      <c r="B179" t="s">
        <v>484</v>
      </c>
      <c r="C179" t="s">
        <v>356</v>
      </c>
      <c r="D179">
        <v>914.42</v>
      </c>
      <c r="E179" s="15">
        <v>46013</v>
      </c>
    </row>
    <row r="180" spans="2:5">
      <c r="B180" t="s">
        <v>485</v>
      </c>
      <c r="C180" t="s">
        <v>356</v>
      </c>
      <c r="D180">
        <v>911.54</v>
      </c>
      <c r="E180" s="15">
        <v>46013</v>
      </c>
    </row>
    <row r="181" spans="2:5">
      <c r="B181" t="s">
        <v>486</v>
      </c>
      <c r="C181" t="s">
        <v>356</v>
      </c>
      <c r="D181">
        <v>911.1</v>
      </c>
      <c r="E181" s="15">
        <v>46013</v>
      </c>
    </row>
    <row r="182" spans="2:5">
      <c r="B182" t="s">
        <v>487</v>
      </c>
      <c r="C182" t="s">
        <v>356</v>
      </c>
      <c r="D182">
        <v>910.74</v>
      </c>
      <c r="E182" s="15">
        <v>46013</v>
      </c>
    </row>
    <row r="183" spans="2:5">
      <c r="B183" t="s">
        <v>488</v>
      </c>
      <c r="C183" t="s">
        <v>356</v>
      </c>
      <c r="D183">
        <v>902.52</v>
      </c>
      <c r="E183" s="15">
        <v>46013</v>
      </c>
    </row>
    <row r="184" spans="2:5">
      <c r="B184" t="s">
        <v>489</v>
      </c>
      <c r="C184" t="s">
        <v>356</v>
      </c>
      <c r="D184">
        <v>901.37</v>
      </c>
      <c r="E184" s="15">
        <v>46013</v>
      </c>
    </row>
    <row r="185" spans="2:5">
      <c r="B185" t="s">
        <v>490</v>
      </c>
      <c r="C185" t="s">
        <v>356</v>
      </c>
      <c r="D185">
        <v>883.17</v>
      </c>
      <c r="E185" s="15">
        <v>46013</v>
      </c>
    </row>
    <row r="186" spans="2:5">
      <c r="B186" t="s">
        <v>491</v>
      </c>
      <c r="C186" t="s">
        <v>356</v>
      </c>
      <c r="D186">
        <v>879.75</v>
      </c>
      <c r="E186" s="15">
        <v>46013</v>
      </c>
    </row>
    <row r="187" spans="2:5">
      <c r="B187" t="s">
        <v>492</v>
      </c>
      <c r="C187" t="s">
        <v>356</v>
      </c>
      <c r="D187">
        <v>877.53</v>
      </c>
      <c r="E187" s="15">
        <v>46013</v>
      </c>
    </row>
    <row r="188" spans="2:5">
      <c r="B188" t="s">
        <v>493</v>
      </c>
      <c r="C188" t="s">
        <v>356</v>
      </c>
      <c r="D188">
        <v>876.41</v>
      </c>
      <c r="E188" s="15">
        <v>46013</v>
      </c>
    </row>
    <row r="189" spans="2:5">
      <c r="B189" t="s">
        <v>494</v>
      </c>
      <c r="C189" t="s">
        <v>356</v>
      </c>
      <c r="D189">
        <v>875.78</v>
      </c>
      <c r="E189" s="15">
        <v>46013</v>
      </c>
    </row>
    <row r="190" spans="2:5">
      <c r="B190" t="s">
        <v>495</v>
      </c>
      <c r="C190" t="s">
        <v>356</v>
      </c>
      <c r="D190">
        <v>871.63</v>
      </c>
      <c r="E190" s="15">
        <v>46013</v>
      </c>
    </row>
    <row r="191" spans="2:5">
      <c r="B191" t="s">
        <v>496</v>
      </c>
      <c r="C191" t="s">
        <v>356</v>
      </c>
      <c r="D191">
        <v>871.16</v>
      </c>
      <c r="E191" s="15">
        <v>46013</v>
      </c>
    </row>
    <row r="192" spans="2:5">
      <c r="B192" t="s">
        <v>497</v>
      </c>
      <c r="C192" t="s">
        <v>356</v>
      </c>
      <c r="D192">
        <v>867.94</v>
      </c>
      <c r="E192" s="15">
        <v>46013</v>
      </c>
    </row>
    <row r="193" spans="2:5">
      <c r="B193" t="s">
        <v>498</v>
      </c>
      <c r="C193" t="s">
        <v>356</v>
      </c>
      <c r="D193">
        <v>867.86</v>
      </c>
      <c r="E193" s="15">
        <v>46013</v>
      </c>
    </row>
    <row r="194" spans="2:5">
      <c r="B194" t="s">
        <v>499</v>
      </c>
      <c r="C194" t="s">
        <v>356</v>
      </c>
      <c r="D194">
        <v>865.29</v>
      </c>
      <c r="E194" s="15">
        <v>46013</v>
      </c>
    </row>
    <row r="195" spans="2:5">
      <c r="B195" t="s">
        <v>500</v>
      </c>
      <c r="C195" t="s">
        <v>356</v>
      </c>
      <c r="D195">
        <v>857.4</v>
      </c>
      <c r="E195" s="15">
        <v>46013</v>
      </c>
    </row>
    <row r="196" spans="2:5">
      <c r="B196" t="s">
        <v>501</v>
      </c>
      <c r="C196" t="s">
        <v>356</v>
      </c>
      <c r="D196">
        <v>851.74</v>
      </c>
      <c r="E196" s="15">
        <v>46013</v>
      </c>
    </row>
    <row r="197" spans="2:5">
      <c r="B197" t="s">
        <v>502</v>
      </c>
      <c r="C197" t="s">
        <v>356</v>
      </c>
      <c r="D197">
        <v>847.03</v>
      </c>
      <c r="E197" s="15">
        <v>46013</v>
      </c>
    </row>
    <row r="198" spans="2:5">
      <c r="B198" t="s">
        <v>503</v>
      </c>
      <c r="C198" t="s">
        <v>356</v>
      </c>
      <c r="D198">
        <v>835.64</v>
      </c>
      <c r="E198" s="15">
        <v>46013</v>
      </c>
    </row>
    <row r="199" spans="2:5">
      <c r="B199" t="s">
        <v>504</v>
      </c>
      <c r="C199" t="s">
        <v>356</v>
      </c>
      <c r="D199">
        <v>835.55</v>
      </c>
      <c r="E199" s="15">
        <v>46013</v>
      </c>
    </row>
    <row r="200" spans="2:5">
      <c r="B200" t="s">
        <v>505</v>
      </c>
      <c r="C200" t="s">
        <v>356</v>
      </c>
      <c r="D200">
        <v>833.16</v>
      </c>
      <c r="E200" s="15">
        <v>46013</v>
      </c>
    </row>
    <row r="201" spans="2:5">
      <c r="B201" t="s">
        <v>506</v>
      </c>
      <c r="C201" t="s">
        <v>356</v>
      </c>
      <c r="D201">
        <v>828.9</v>
      </c>
      <c r="E201" s="15">
        <v>46013</v>
      </c>
    </row>
    <row r="202" spans="2:5">
      <c r="B202" t="s">
        <v>507</v>
      </c>
      <c r="C202" t="s">
        <v>356</v>
      </c>
      <c r="D202">
        <v>823.08</v>
      </c>
      <c r="E202" s="15">
        <v>46013</v>
      </c>
    </row>
    <row r="203" spans="2:5">
      <c r="B203" t="s">
        <v>508</v>
      </c>
      <c r="C203" t="s">
        <v>356</v>
      </c>
      <c r="D203">
        <v>818.03</v>
      </c>
      <c r="E203" s="15">
        <v>46013</v>
      </c>
    </row>
    <row r="204" spans="2:5">
      <c r="B204" t="s">
        <v>509</v>
      </c>
      <c r="C204" t="s">
        <v>356</v>
      </c>
      <c r="D204">
        <v>805.33</v>
      </c>
      <c r="E204" s="15">
        <v>46013</v>
      </c>
    </row>
    <row r="205" spans="2:5">
      <c r="B205" t="s">
        <v>510</v>
      </c>
      <c r="C205" t="s">
        <v>356</v>
      </c>
      <c r="D205">
        <v>803.98</v>
      </c>
      <c r="E205" s="15">
        <v>46013</v>
      </c>
    </row>
    <row r="206" spans="2:5">
      <c r="B206" t="s">
        <v>511</v>
      </c>
      <c r="C206" t="s">
        <v>356</v>
      </c>
      <c r="D206">
        <v>799.8</v>
      </c>
      <c r="E206" s="15">
        <v>46013</v>
      </c>
    </row>
    <row r="207" spans="2:5">
      <c r="B207" t="s">
        <v>512</v>
      </c>
      <c r="C207" t="s">
        <v>356</v>
      </c>
      <c r="D207">
        <v>796.6</v>
      </c>
      <c r="E207" s="15">
        <v>46013</v>
      </c>
    </row>
    <row r="208" spans="2:5">
      <c r="B208" t="s">
        <v>513</v>
      </c>
      <c r="C208" t="s">
        <v>356</v>
      </c>
      <c r="D208">
        <v>776.6</v>
      </c>
      <c r="E208" s="15">
        <v>46013</v>
      </c>
    </row>
    <row r="209" spans="2:5">
      <c r="B209" t="s">
        <v>514</v>
      </c>
      <c r="C209" t="s">
        <v>356</v>
      </c>
      <c r="D209">
        <v>776.54</v>
      </c>
      <c r="E209" s="15">
        <v>46013</v>
      </c>
    </row>
    <row r="210" spans="2:5">
      <c r="B210" t="s">
        <v>515</v>
      </c>
      <c r="C210" t="s">
        <v>356</v>
      </c>
      <c r="D210">
        <v>759.78</v>
      </c>
      <c r="E210" s="15">
        <v>46013</v>
      </c>
    </row>
    <row r="211" spans="2:5">
      <c r="B211" t="s">
        <v>516</v>
      </c>
      <c r="C211" t="s">
        <v>356</v>
      </c>
      <c r="D211">
        <v>726.03</v>
      </c>
      <c r="E211" s="15">
        <v>46013</v>
      </c>
    </row>
  </sheetData>
  <autoFilter ref="A1:E1" xr:uid="{6C90045A-0AAE-0145-B98A-69D0D422D1C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5E4BF-2A16-2A44-BF4C-E29CD40AB6B4}">
  <dimension ref="A1:J323"/>
  <sheetViews>
    <sheetView workbookViewId="0">
      <pane ySplit="1" topLeftCell="A2" activePane="bottomLeft" state="frozen"/>
      <selection pane="bottomLeft" sqref="A1:J1"/>
    </sheetView>
  </sheetViews>
  <sheetFormatPr baseColWidth="10" defaultRowHeight="16"/>
  <cols>
    <col min="2" max="2" width="22.33203125" customWidth="1"/>
    <col min="3" max="3" width="11.6640625" customWidth="1"/>
    <col min="4" max="4" width="13.83203125" style="15" customWidth="1"/>
    <col min="5" max="5" width="20" customWidth="1"/>
    <col min="10" max="10" width="18" customWidth="1"/>
  </cols>
  <sheetData>
    <row r="1" spans="1:10">
      <c r="A1" t="s">
        <v>350</v>
      </c>
      <c r="B1" t="s">
        <v>314</v>
      </c>
      <c r="C1" t="s">
        <v>517</v>
      </c>
      <c r="D1" s="15" t="s">
        <v>1</v>
      </c>
      <c r="E1" t="s">
        <v>518</v>
      </c>
      <c r="F1" t="s">
        <v>175</v>
      </c>
      <c r="G1" t="s">
        <v>519</v>
      </c>
      <c r="H1" t="s">
        <v>520</v>
      </c>
      <c r="I1" t="s">
        <v>521</v>
      </c>
      <c r="J1" t="s">
        <v>522</v>
      </c>
    </row>
    <row r="2" spans="1:10">
      <c r="A2">
        <v>2</v>
      </c>
      <c r="B2" t="s">
        <v>152</v>
      </c>
      <c r="C2">
        <v>4</v>
      </c>
      <c r="D2" s="15">
        <v>46026</v>
      </c>
      <c r="E2" t="s">
        <v>523</v>
      </c>
      <c r="F2" t="s">
        <v>524</v>
      </c>
      <c r="G2" t="s">
        <v>525</v>
      </c>
      <c r="H2">
        <v>1</v>
      </c>
      <c r="I2">
        <v>2</v>
      </c>
      <c r="J2" t="s">
        <v>374</v>
      </c>
    </row>
    <row r="3" spans="1:10">
      <c r="A3">
        <v>2</v>
      </c>
      <c r="B3" t="s">
        <v>152</v>
      </c>
      <c r="C3">
        <v>5</v>
      </c>
      <c r="D3" s="15">
        <v>46020</v>
      </c>
      <c r="E3" t="s">
        <v>523</v>
      </c>
      <c r="F3" t="s">
        <v>524</v>
      </c>
      <c r="G3" t="s">
        <v>526</v>
      </c>
      <c r="H3">
        <v>3</v>
      </c>
      <c r="I3">
        <v>2</v>
      </c>
      <c r="J3" t="s">
        <v>435</v>
      </c>
    </row>
    <row r="4" spans="1:10">
      <c r="A4">
        <v>2</v>
      </c>
      <c r="B4" t="s">
        <v>152</v>
      </c>
      <c r="C4">
        <v>6</v>
      </c>
      <c r="D4" s="15">
        <v>46017</v>
      </c>
      <c r="E4" t="s">
        <v>523</v>
      </c>
      <c r="F4" t="s">
        <v>524</v>
      </c>
      <c r="G4" t="s">
        <v>525</v>
      </c>
      <c r="H4">
        <v>0</v>
      </c>
      <c r="I4">
        <v>1</v>
      </c>
      <c r="J4" t="s">
        <v>158</v>
      </c>
    </row>
    <row r="5" spans="1:10">
      <c r="A5">
        <v>2</v>
      </c>
      <c r="B5" t="s">
        <v>152</v>
      </c>
      <c r="C5">
        <v>7</v>
      </c>
      <c r="D5" s="15">
        <v>46013</v>
      </c>
      <c r="E5" t="s">
        <v>523</v>
      </c>
      <c r="F5" t="s">
        <v>524</v>
      </c>
      <c r="G5" t="s">
        <v>526</v>
      </c>
      <c r="H5">
        <v>2</v>
      </c>
      <c r="I5">
        <v>1</v>
      </c>
      <c r="J5" t="s">
        <v>395</v>
      </c>
    </row>
    <row r="6" spans="1:10">
      <c r="A6">
        <v>3</v>
      </c>
      <c r="B6" t="s">
        <v>116</v>
      </c>
      <c r="C6">
        <v>9</v>
      </c>
      <c r="D6" s="15">
        <v>45818</v>
      </c>
      <c r="E6" t="s">
        <v>527</v>
      </c>
      <c r="F6" t="s">
        <v>171</v>
      </c>
      <c r="G6" t="s">
        <v>526</v>
      </c>
      <c r="H6">
        <v>4</v>
      </c>
      <c r="I6">
        <v>0</v>
      </c>
      <c r="J6" t="s">
        <v>441</v>
      </c>
    </row>
    <row r="7" spans="1:10">
      <c r="A7">
        <v>3</v>
      </c>
      <c r="B7" t="s">
        <v>116</v>
      </c>
      <c r="C7">
        <v>10</v>
      </c>
      <c r="D7" s="15">
        <v>45813</v>
      </c>
      <c r="E7" t="s">
        <v>527</v>
      </c>
      <c r="F7" t="s">
        <v>173</v>
      </c>
      <c r="G7" t="s">
        <v>526</v>
      </c>
      <c r="H7">
        <v>2</v>
      </c>
      <c r="I7">
        <v>0</v>
      </c>
      <c r="J7" t="s">
        <v>132</v>
      </c>
    </row>
    <row r="8" spans="1:10">
      <c r="A8">
        <v>4</v>
      </c>
      <c r="B8" t="s">
        <v>139</v>
      </c>
      <c r="C8">
        <v>3</v>
      </c>
      <c r="D8" s="15">
        <v>46112</v>
      </c>
      <c r="E8" t="s">
        <v>527</v>
      </c>
      <c r="F8" t="s">
        <v>171</v>
      </c>
      <c r="G8" t="s">
        <v>528</v>
      </c>
      <c r="H8">
        <v>2</v>
      </c>
      <c r="I8">
        <v>2</v>
      </c>
      <c r="J8" t="s">
        <v>357</v>
      </c>
    </row>
    <row r="9" spans="1:10">
      <c r="A9">
        <v>4</v>
      </c>
      <c r="B9" t="s">
        <v>139</v>
      </c>
      <c r="C9">
        <v>4</v>
      </c>
      <c r="D9" s="15">
        <v>46107</v>
      </c>
      <c r="E9" t="s">
        <v>527</v>
      </c>
      <c r="F9" t="s">
        <v>524</v>
      </c>
      <c r="G9" t="s">
        <v>528</v>
      </c>
      <c r="H9">
        <v>2</v>
      </c>
      <c r="I9">
        <v>2</v>
      </c>
      <c r="J9" t="s">
        <v>375</v>
      </c>
    </row>
    <row r="10" spans="1:10">
      <c r="A10">
        <v>4</v>
      </c>
      <c r="B10" t="s">
        <v>139</v>
      </c>
      <c r="C10">
        <v>5</v>
      </c>
      <c r="D10" s="15">
        <v>45978</v>
      </c>
      <c r="E10" t="s">
        <v>527</v>
      </c>
      <c r="F10" t="s">
        <v>171</v>
      </c>
      <c r="G10" t="s">
        <v>526</v>
      </c>
      <c r="H10">
        <v>6</v>
      </c>
      <c r="I10">
        <v>0</v>
      </c>
      <c r="J10" t="s">
        <v>508</v>
      </c>
    </row>
    <row r="11" spans="1:10">
      <c r="A11">
        <v>4</v>
      </c>
      <c r="B11" t="s">
        <v>139</v>
      </c>
      <c r="C11">
        <v>7</v>
      </c>
      <c r="D11" s="15">
        <v>45942</v>
      </c>
      <c r="E11" t="s">
        <v>527</v>
      </c>
      <c r="F11" t="s">
        <v>173</v>
      </c>
      <c r="G11" t="s">
        <v>525</v>
      </c>
      <c r="H11">
        <v>1</v>
      </c>
      <c r="I11">
        <v>2</v>
      </c>
      <c r="J11" t="s">
        <v>431</v>
      </c>
    </row>
    <row r="12" spans="1:10">
      <c r="A12">
        <v>4</v>
      </c>
      <c r="B12" t="s">
        <v>139</v>
      </c>
      <c r="C12">
        <v>8</v>
      </c>
      <c r="D12" s="15">
        <v>45939</v>
      </c>
      <c r="E12" t="s">
        <v>527</v>
      </c>
      <c r="F12" t="s">
        <v>171</v>
      </c>
      <c r="G12" t="s">
        <v>528</v>
      </c>
      <c r="H12">
        <v>0</v>
      </c>
      <c r="I12">
        <v>0</v>
      </c>
      <c r="J12" t="s">
        <v>159</v>
      </c>
    </row>
    <row r="13" spans="1:10">
      <c r="A13">
        <v>4</v>
      </c>
      <c r="B13" t="s">
        <v>139</v>
      </c>
      <c r="C13">
        <v>10</v>
      </c>
      <c r="D13" s="15">
        <v>45905</v>
      </c>
      <c r="E13" t="s">
        <v>527</v>
      </c>
      <c r="F13" t="s">
        <v>173</v>
      </c>
      <c r="G13" t="s">
        <v>526</v>
      </c>
      <c r="H13">
        <v>2</v>
      </c>
      <c r="I13">
        <v>0</v>
      </c>
      <c r="J13" t="s">
        <v>391</v>
      </c>
    </row>
    <row r="14" spans="1:10">
      <c r="A14">
        <v>6</v>
      </c>
      <c r="B14" t="s">
        <v>349</v>
      </c>
      <c r="C14">
        <v>3</v>
      </c>
      <c r="D14" s="15">
        <v>45979</v>
      </c>
      <c r="E14" t="s">
        <v>527</v>
      </c>
      <c r="F14" t="s">
        <v>173</v>
      </c>
      <c r="G14" t="s">
        <v>528</v>
      </c>
      <c r="H14">
        <v>1</v>
      </c>
      <c r="I14">
        <v>1</v>
      </c>
      <c r="J14" t="s">
        <v>134</v>
      </c>
    </row>
    <row r="15" spans="1:10">
      <c r="A15">
        <v>6</v>
      </c>
      <c r="B15" t="s">
        <v>349</v>
      </c>
      <c r="C15">
        <v>4</v>
      </c>
      <c r="D15" s="15">
        <v>45976</v>
      </c>
      <c r="E15" t="s">
        <v>527</v>
      </c>
      <c r="F15" t="s">
        <v>171</v>
      </c>
      <c r="G15" t="s">
        <v>526</v>
      </c>
      <c r="H15">
        <v>3</v>
      </c>
      <c r="I15">
        <v>1</v>
      </c>
      <c r="J15" t="s">
        <v>367</v>
      </c>
    </row>
    <row r="16" spans="1:10">
      <c r="A16">
        <v>6</v>
      </c>
      <c r="B16" t="s">
        <v>349</v>
      </c>
      <c r="C16">
        <v>6</v>
      </c>
      <c r="D16" s="15">
        <v>45939</v>
      </c>
      <c r="E16" t="s">
        <v>527</v>
      </c>
      <c r="F16" t="s">
        <v>173</v>
      </c>
      <c r="G16" t="s">
        <v>528</v>
      </c>
      <c r="H16">
        <v>2</v>
      </c>
      <c r="I16">
        <v>2</v>
      </c>
      <c r="J16" t="s">
        <v>434</v>
      </c>
    </row>
    <row r="17" spans="1:10">
      <c r="A17">
        <v>6</v>
      </c>
      <c r="B17" t="s">
        <v>349</v>
      </c>
      <c r="C17">
        <v>7</v>
      </c>
      <c r="D17" s="15">
        <v>45909</v>
      </c>
      <c r="E17" t="s">
        <v>527</v>
      </c>
      <c r="F17" t="s">
        <v>171</v>
      </c>
      <c r="G17" t="s">
        <v>525</v>
      </c>
      <c r="H17">
        <v>1</v>
      </c>
      <c r="I17">
        <v>2</v>
      </c>
      <c r="J17" t="s">
        <v>134</v>
      </c>
    </row>
    <row r="18" spans="1:10">
      <c r="A18">
        <v>6</v>
      </c>
      <c r="B18" t="s">
        <v>349</v>
      </c>
      <c r="C18">
        <v>8</v>
      </c>
      <c r="D18" s="15">
        <v>45906</v>
      </c>
      <c r="E18" t="s">
        <v>527</v>
      </c>
      <c r="F18" t="s">
        <v>173</v>
      </c>
      <c r="G18" t="s">
        <v>526</v>
      </c>
      <c r="H18">
        <v>6</v>
      </c>
      <c r="I18">
        <v>0</v>
      </c>
      <c r="J18" t="s">
        <v>516</v>
      </c>
    </row>
    <row r="19" spans="1:10">
      <c r="A19">
        <v>6</v>
      </c>
      <c r="B19" t="s">
        <v>349</v>
      </c>
      <c r="C19">
        <v>10</v>
      </c>
      <c r="D19" s="15">
        <v>45815</v>
      </c>
      <c r="E19" t="s">
        <v>527</v>
      </c>
      <c r="F19" t="s">
        <v>171</v>
      </c>
      <c r="G19" t="s">
        <v>526</v>
      </c>
      <c r="H19">
        <v>1</v>
      </c>
      <c r="I19">
        <v>0</v>
      </c>
      <c r="J19" t="s">
        <v>516</v>
      </c>
    </row>
    <row r="20" spans="1:10">
      <c r="A20">
        <v>7</v>
      </c>
      <c r="B20" t="s">
        <v>119</v>
      </c>
      <c r="C20">
        <v>3</v>
      </c>
      <c r="D20" s="15">
        <v>45944</v>
      </c>
      <c r="E20" t="s">
        <v>527</v>
      </c>
      <c r="F20" t="s">
        <v>171</v>
      </c>
      <c r="G20" t="s">
        <v>526</v>
      </c>
      <c r="H20">
        <v>2</v>
      </c>
      <c r="I20">
        <v>1</v>
      </c>
      <c r="J20" t="s">
        <v>529</v>
      </c>
    </row>
    <row r="21" spans="1:10">
      <c r="A21">
        <v>7</v>
      </c>
      <c r="B21" t="s">
        <v>119</v>
      </c>
      <c r="C21">
        <v>4</v>
      </c>
      <c r="D21" s="15">
        <v>45938</v>
      </c>
      <c r="E21" t="s">
        <v>527</v>
      </c>
      <c r="F21" t="s">
        <v>173</v>
      </c>
      <c r="G21" t="s">
        <v>528</v>
      </c>
      <c r="H21">
        <v>0</v>
      </c>
      <c r="I21">
        <v>0</v>
      </c>
      <c r="J21" t="s">
        <v>388</v>
      </c>
    </row>
    <row r="22" spans="1:10">
      <c r="A22">
        <v>7</v>
      </c>
      <c r="B22" t="s">
        <v>119</v>
      </c>
      <c r="C22">
        <v>7</v>
      </c>
      <c r="D22" s="15">
        <v>45818</v>
      </c>
      <c r="E22" t="s">
        <v>527</v>
      </c>
      <c r="F22" t="s">
        <v>173</v>
      </c>
      <c r="G22" t="s">
        <v>525</v>
      </c>
      <c r="H22">
        <v>0</v>
      </c>
      <c r="I22">
        <v>3</v>
      </c>
      <c r="J22" t="s">
        <v>138</v>
      </c>
    </row>
    <row r="23" spans="1:10">
      <c r="A23">
        <v>7</v>
      </c>
      <c r="B23" t="s">
        <v>119</v>
      </c>
      <c r="C23">
        <v>8</v>
      </c>
      <c r="D23" s="15">
        <v>45813</v>
      </c>
      <c r="E23" t="s">
        <v>527</v>
      </c>
      <c r="F23" t="s">
        <v>171</v>
      </c>
      <c r="G23" t="s">
        <v>526</v>
      </c>
      <c r="H23">
        <v>1</v>
      </c>
      <c r="I23">
        <v>0</v>
      </c>
      <c r="J23" t="s">
        <v>130</v>
      </c>
    </row>
    <row r="24" spans="1:10">
      <c r="A24">
        <v>7</v>
      </c>
      <c r="B24" t="s">
        <v>119</v>
      </c>
      <c r="C24">
        <v>9</v>
      </c>
      <c r="D24" s="15">
        <v>45741</v>
      </c>
      <c r="E24" t="s">
        <v>527</v>
      </c>
      <c r="F24" t="s">
        <v>173</v>
      </c>
      <c r="G24" t="s">
        <v>525</v>
      </c>
      <c r="H24">
        <v>1</v>
      </c>
      <c r="I24">
        <v>3</v>
      </c>
      <c r="J24" t="s">
        <v>410</v>
      </c>
    </row>
    <row r="25" spans="1:10">
      <c r="A25">
        <v>7</v>
      </c>
      <c r="B25" t="s">
        <v>119</v>
      </c>
      <c r="C25">
        <v>10</v>
      </c>
      <c r="D25" s="15">
        <v>45736</v>
      </c>
      <c r="E25" t="s">
        <v>527</v>
      </c>
      <c r="F25" t="s">
        <v>171</v>
      </c>
      <c r="G25" t="s">
        <v>526</v>
      </c>
      <c r="H25">
        <v>5</v>
      </c>
      <c r="I25">
        <v>1</v>
      </c>
      <c r="J25" t="s">
        <v>425</v>
      </c>
    </row>
    <row r="26" spans="1:10">
      <c r="A26">
        <v>8</v>
      </c>
      <c r="B26" t="s">
        <v>140</v>
      </c>
      <c r="C26">
        <v>9</v>
      </c>
      <c r="D26" s="15">
        <v>45614</v>
      </c>
      <c r="E26" t="s">
        <v>530</v>
      </c>
      <c r="F26" t="s">
        <v>173</v>
      </c>
      <c r="G26" t="s">
        <v>525</v>
      </c>
      <c r="H26">
        <v>2</v>
      </c>
      <c r="I26">
        <v>3</v>
      </c>
      <c r="J26" t="s">
        <v>128</v>
      </c>
    </row>
    <row r="27" spans="1:10">
      <c r="A27">
        <v>8</v>
      </c>
      <c r="B27" t="s">
        <v>140</v>
      </c>
      <c r="C27">
        <v>10</v>
      </c>
      <c r="D27" s="15">
        <v>45611</v>
      </c>
      <c r="E27" t="s">
        <v>530</v>
      </c>
      <c r="F27" t="s">
        <v>171</v>
      </c>
      <c r="G27" t="s">
        <v>528</v>
      </c>
      <c r="H27">
        <v>1</v>
      </c>
      <c r="I27">
        <v>1</v>
      </c>
      <c r="J27" t="s">
        <v>362</v>
      </c>
    </row>
    <row r="28" spans="1:10">
      <c r="A28">
        <v>9</v>
      </c>
      <c r="B28" t="s">
        <v>120</v>
      </c>
      <c r="C28">
        <v>9</v>
      </c>
      <c r="D28" s="15">
        <v>45909</v>
      </c>
      <c r="E28" t="s">
        <v>527</v>
      </c>
      <c r="F28" t="s">
        <v>173</v>
      </c>
      <c r="G28" t="s">
        <v>525</v>
      </c>
      <c r="H28">
        <v>0</v>
      </c>
      <c r="I28">
        <v>1</v>
      </c>
      <c r="J28" t="s">
        <v>385</v>
      </c>
    </row>
    <row r="29" spans="1:10">
      <c r="A29">
        <v>9</v>
      </c>
      <c r="B29" t="s">
        <v>120</v>
      </c>
      <c r="C29">
        <v>10</v>
      </c>
      <c r="D29" s="15">
        <v>45181</v>
      </c>
      <c r="E29" t="s">
        <v>527</v>
      </c>
      <c r="F29" t="s">
        <v>173</v>
      </c>
      <c r="G29" t="s">
        <v>526</v>
      </c>
      <c r="H29">
        <v>1</v>
      </c>
      <c r="I29">
        <v>0</v>
      </c>
      <c r="J29" t="s">
        <v>370</v>
      </c>
    </row>
    <row r="30" spans="1:10">
      <c r="A30">
        <v>10</v>
      </c>
      <c r="B30" t="s">
        <v>151</v>
      </c>
      <c r="C30">
        <v>1</v>
      </c>
      <c r="D30" s="15">
        <v>46040</v>
      </c>
      <c r="E30" t="s">
        <v>523</v>
      </c>
      <c r="F30" t="s">
        <v>524</v>
      </c>
      <c r="G30" t="s">
        <v>525</v>
      </c>
      <c r="H30">
        <v>0</v>
      </c>
      <c r="I30">
        <v>1</v>
      </c>
      <c r="J30" t="s">
        <v>156</v>
      </c>
    </row>
    <row r="31" spans="1:10">
      <c r="A31">
        <v>10</v>
      </c>
      <c r="B31" t="s">
        <v>151</v>
      </c>
      <c r="C31">
        <v>2</v>
      </c>
      <c r="D31" s="15">
        <v>46036</v>
      </c>
      <c r="E31" t="s">
        <v>523</v>
      </c>
      <c r="F31" t="s">
        <v>524</v>
      </c>
      <c r="G31" t="s">
        <v>528</v>
      </c>
      <c r="H31">
        <v>0</v>
      </c>
      <c r="I31">
        <v>0</v>
      </c>
      <c r="J31" t="s">
        <v>363</v>
      </c>
    </row>
    <row r="32" spans="1:10">
      <c r="A32">
        <v>10</v>
      </c>
      <c r="B32" t="s">
        <v>151</v>
      </c>
      <c r="C32">
        <v>3</v>
      </c>
      <c r="D32" s="15">
        <v>46031</v>
      </c>
      <c r="E32" t="s">
        <v>523</v>
      </c>
      <c r="F32" t="s">
        <v>524</v>
      </c>
      <c r="G32" t="s">
        <v>526</v>
      </c>
      <c r="H32">
        <v>2</v>
      </c>
      <c r="I32">
        <v>0</v>
      </c>
      <c r="J32" t="s">
        <v>374</v>
      </c>
    </row>
    <row r="33" spans="1:10">
      <c r="A33">
        <v>10</v>
      </c>
      <c r="B33" t="s">
        <v>151</v>
      </c>
      <c r="C33">
        <v>4</v>
      </c>
      <c r="D33" s="15">
        <v>46026</v>
      </c>
      <c r="E33" t="s">
        <v>523</v>
      </c>
      <c r="F33" t="s">
        <v>524</v>
      </c>
      <c r="G33" t="s">
        <v>526</v>
      </c>
      <c r="H33">
        <v>1</v>
      </c>
      <c r="I33">
        <v>0</v>
      </c>
      <c r="J33" t="s">
        <v>418</v>
      </c>
    </row>
    <row r="34" spans="1:10">
      <c r="A34">
        <v>10</v>
      </c>
      <c r="B34" t="s">
        <v>151</v>
      </c>
      <c r="C34">
        <v>5</v>
      </c>
      <c r="D34" s="15">
        <v>46020</v>
      </c>
      <c r="E34" t="s">
        <v>523</v>
      </c>
      <c r="F34" t="s">
        <v>524</v>
      </c>
      <c r="G34" t="s">
        <v>526</v>
      </c>
      <c r="H34">
        <v>3</v>
      </c>
      <c r="I34">
        <v>0</v>
      </c>
      <c r="J34" t="s">
        <v>397</v>
      </c>
    </row>
    <row r="35" spans="1:10">
      <c r="A35">
        <v>10</v>
      </c>
      <c r="B35" t="s">
        <v>151</v>
      </c>
      <c r="C35">
        <v>6</v>
      </c>
      <c r="D35" s="15">
        <v>46017</v>
      </c>
      <c r="E35" t="s">
        <v>523</v>
      </c>
      <c r="F35" t="s">
        <v>524</v>
      </c>
      <c r="G35" t="s">
        <v>528</v>
      </c>
      <c r="H35">
        <v>1</v>
      </c>
      <c r="I35">
        <v>1</v>
      </c>
      <c r="J35" t="s">
        <v>372</v>
      </c>
    </row>
    <row r="36" spans="1:10">
      <c r="A36">
        <v>10</v>
      </c>
      <c r="B36" t="s">
        <v>151</v>
      </c>
      <c r="C36">
        <v>7</v>
      </c>
      <c r="D36" s="15">
        <v>46012</v>
      </c>
      <c r="E36" t="s">
        <v>523</v>
      </c>
      <c r="F36" t="s">
        <v>524</v>
      </c>
      <c r="G36" t="s">
        <v>526</v>
      </c>
      <c r="H36">
        <v>2</v>
      </c>
      <c r="I36">
        <v>0</v>
      </c>
      <c r="J36" t="s">
        <v>415</v>
      </c>
    </row>
    <row r="37" spans="1:10">
      <c r="A37">
        <v>11</v>
      </c>
      <c r="B37" t="s">
        <v>122</v>
      </c>
      <c r="C37">
        <v>5</v>
      </c>
      <c r="D37" s="15">
        <v>45979</v>
      </c>
      <c r="E37" t="s">
        <v>527</v>
      </c>
      <c r="F37" t="s">
        <v>171</v>
      </c>
      <c r="G37" t="s">
        <v>526</v>
      </c>
      <c r="H37">
        <v>2</v>
      </c>
      <c r="I37">
        <v>0</v>
      </c>
      <c r="J37" t="s">
        <v>438</v>
      </c>
    </row>
    <row r="38" spans="1:10">
      <c r="A38">
        <v>11</v>
      </c>
      <c r="B38" t="s">
        <v>122</v>
      </c>
      <c r="C38">
        <v>6</v>
      </c>
      <c r="D38" s="15">
        <v>45974</v>
      </c>
      <c r="E38" t="s">
        <v>527</v>
      </c>
      <c r="F38" t="s">
        <v>171</v>
      </c>
      <c r="G38" t="s">
        <v>526</v>
      </c>
      <c r="H38">
        <v>1</v>
      </c>
      <c r="I38">
        <v>0</v>
      </c>
      <c r="J38" t="s">
        <v>369</v>
      </c>
    </row>
    <row r="39" spans="1:10">
      <c r="A39">
        <v>11</v>
      </c>
      <c r="B39" t="s">
        <v>122</v>
      </c>
      <c r="C39">
        <v>7</v>
      </c>
      <c r="D39" s="15">
        <v>45830</v>
      </c>
      <c r="E39" t="s">
        <v>531</v>
      </c>
      <c r="F39" t="s">
        <v>524</v>
      </c>
      <c r="G39" t="s">
        <v>525</v>
      </c>
      <c r="H39">
        <v>1</v>
      </c>
      <c r="I39">
        <v>2</v>
      </c>
      <c r="J39" t="s">
        <v>118</v>
      </c>
    </row>
    <row r="40" spans="1:10">
      <c r="A40">
        <v>11</v>
      </c>
      <c r="B40" t="s">
        <v>122</v>
      </c>
      <c r="C40">
        <v>8</v>
      </c>
      <c r="D40" s="15">
        <v>45827</v>
      </c>
      <c r="E40" t="s">
        <v>531</v>
      </c>
      <c r="F40" t="s">
        <v>524</v>
      </c>
      <c r="G40" t="s">
        <v>528</v>
      </c>
      <c r="H40">
        <v>1</v>
      </c>
      <c r="I40">
        <v>1</v>
      </c>
      <c r="J40" t="s">
        <v>532</v>
      </c>
    </row>
    <row r="41" spans="1:10">
      <c r="A41">
        <v>11</v>
      </c>
      <c r="B41" t="s">
        <v>122</v>
      </c>
      <c r="C41">
        <v>9</v>
      </c>
      <c r="D41" s="15">
        <v>45823</v>
      </c>
      <c r="E41" t="s">
        <v>531</v>
      </c>
      <c r="F41" t="s">
        <v>524</v>
      </c>
      <c r="G41" t="s">
        <v>525</v>
      </c>
      <c r="H41">
        <v>0</v>
      </c>
      <c r="I41">
        <v>1</v>
      </c>
      <c r="J41" t="s">
        <v>129</v>
      </c>
    </row>
    <row r="42" spans="1:10">
      <c r="A42">
        <v>12</v>
      </c>
      <c r="B42" t="s">
        <v>141</v>
      </c>
      <c r="C42">
        <v>7</v>
      </c>
      <c r="D42" s="15">
        <v>45739</v>
      </c>
      <c r="E42" t="s">
        <v>530</v>
      </c>
      <c r="F42" t="s">
        <v>171</v>
      </c>
      <c r="G42" t="s">
        <v>525</v>
      </c>
      <c r="H42">
        <v>0</v>
      </c>
      <c r="I42">
        <v>3</v>
      </c>
      <c r="J42" t="s">
        <v>366</v>
      </c>
    </row>
    <row r="43" spans="1:10">
      <c r="A43">
        <v>12</v>
      </c>
      <c r="B43" t="s">
        <v>141</v>
      </c>
      <c r="C43">
        <v>8</v>
      </c>
      <c r="D43" s="15">
        <v>45736</v>
      </c>
      <c r="E43" t="s">
        <v>530</v>
      </c>
      <c r="F43" t="s">
        <v>173</v>
      </c>
      <c r="G43" t="s">
        <v>526</v>
      </c>
      <c r="H43">
        <v>1</v>
      </c>
      <c r="I43">
        <v>0</v>
      </c>
      <c r="J43" t="s">
        <v>366</v>
      </c>
    </row>
    <row r="44" spans="1:10">
      <c r="A44">
        <v>12</v>
      </c>
      <c r="B44" t="s">
        <v>141</v>
      </c>
      <c r="C44">
        <v>9</v>
      </c>
      <c r="D44" s="15">
        <v>45614</v>
      </c>
      <c r="E44" t="s">
        <v>530</v>
      </c>
      <c r="F44" t="s">
        <v>173</v>
      </c>
      <c r="G44" t="s">
        <v>526</v>
      </c>
      <c r="H44">
        <v>2</v>
      </c>
      <c r="I44">
        <v>1</v>
      </c>
      <c r="J44" t="s">
        <v>359</v>
      </c>
    </row>
    <row r="45" spans="1:10">
      <c r="A45">
        <v>12</v>
      </c>
      <c r="B45" t="s">
        <v>141</v>
      </c>
      <c r="C45">
        <v>10</v>
      </c>
      <c r="D45" s="15">
        <v>45611</v>
      </c>
      <c r="E45" t="s">
        <v>530</v>
      </c>
      <c r="F45" t="s">
        <v>171</v>
      </c>
      <c r="G45" t="s">
        <v>526</v>
      </c>
      <c r="H45">
        <v>1</v>
      </c>
      <c r="I45">
        <v>0</v>
      </c>
      <c r="J45" t="s">
        <v>159</v>
      </c>
    </row>
    <row r="46" spans="1:10">
      <c r="A46">
        <v>13</v>
      </c>
      <c r="B46" t="s">
        <v>118</v>
      </c>
      <c r="C46">
        <v>7</v>
      </c>
      <c r="D46" s="15">
        <v>45844</v>
      </c>
      <c r="E46" t="s">
        <v>531</v>
      </c>
      <c r="F46" t="s">
        <v>524</v>
      </c>
      <c r="G46" t="s">
        <v>525</v>
      </c>
      <c r="H46">
        <v>1</v>
      </c>
      <c r="I46">
        <v>2</v>
      </c>
      <c r="J46" t="s">
        <v>115</v>
      </c>
    </row>
    <row r="47" spans="1:10">
      <c r="A47">
        <v>13</v>
      </c>
      <c r="B47" t="s">
        <v>118</v>
      </c>
      <c r="C47">
        <v>8</v>
      </c>
      <c r="D47" s="15">
        <v>45840</v>
      </c>
      <c r="E47" t="s">
        <v>531</v>
      </c>
      <c r="F47" t="s">
        <v>524</v>
      </c>
      <c r="G47" t="s">
        <v>526</v>
      </c>
      <c r="H47">
        <v>2</v>
      </c>
      <c r="I47">
        <v>1</v>
      </c>
      <c r="J47" t="s">
        <v>400</v>
      </c>
    </row>
    <row r="48" spans="1:10">
      <c r="A48">
        <v>13</v>
      </c>
      <c r="B48" t="s">
        <v>118</v>
      </c>
      <c r="C48">
        <v>9</v>
      </c>
      <c r="D48" s="15">
        <v>45837</v>
      </c>
      <c r="E48" t="s">
        <v>531</v>
      </c>
      <c r="F48" t="s">
        <v>524</v>
      </c>
      <c r="G48" t="s">
        <v>528</v>
      </c>
      <c r="H48">
        <v>2</v>
      </c>
      <c r="I48">
        <v>2</v>
      </c>
      <c r="J48" t="s">
        <v>369</v>
      </c>
    </row>
    <row r="49" spans="1:10">
      <c r="A49">
        <v>13</v>
      </c>
      <c r="B49" t="s">
        <v>118</v>
      </c>
      <c r="C49">
        <v>10</v>
      </c>
      <c r="D49" s="15">
        <v>45830</v>
      </c>
      <c r="E49" t="s">
        <v>531</v>
      </c>
      <c r="F49" t="s">
        <v>524</v>
      </c>
      <c r="G49" t="s">
        <v>526</v>
      </c>
      <c r="H49">
        <v>2</v>
      </c>
      <c r="I49">
        <v>1</v>
      </c>
      <c r="J49" t="s">
        <v>122</v>
      </c>
    </row>
    <row r="50" spans="1:10">
      <c r="A50">
        <v>14</v>
      </c>
      <c r="B50" t="s">
        <v>155</v>
      </c>
      <c r="C50">
        <v>8</v>
      </c>
      <c r="D50" s="15">
        <v>45813</v>
      </c>
      <c r="E50" t="s">
        <v>527</v>
      </c>
      <c r="F50" t="s">
        <v>171</v>
      </c>
      <c r="G50" t="s">
        <v>526</v>
      </c>
      <c r="H50">
        <v>2</v>
      </c>
      <c r="I50">
        <v>0</v>
      </c>
      <c r="J50" t="s">
        <v>145</v>
      </c>
    </row>
    <row r="51" spans="1:10">
      <c r="A51">
        <v>14</v>
      </c>
      <c r="B51" t="s">
        <v>155</v>
      </c>
      <c r="C51">
        <v>9</v>
      </c>
      <c r="D51" s="15">
        <v>45610</v>
      </c>
      <c r="E51" t="s">
        <v>527</v>
      </c>
      <c r="F51" t="s">
        <v>171</v>
      </c>
      <c r="G51" t="s">
        <v>526</v>
      </c>
      <c r="H51">
        <v>2</v>
      </c>
      <c r="I51">
        <v>1</v>
      </c>
      <c r="J51" t="s">
        <v>133</v>
      </c>
    </row>
    <row r="52" spans="1:10">
      <c r="A52">
        <v>14</v>
      </c>
      <c r="B52" t="s">
        <v>155</v>
      </c>
      <c r="C52">
        <v>10</v>
      </c>
      <c r="D52" s="15">
        <v>45575</v>
      </c>
      <c r="E52" t="s">
        <v>527</v>
      </c>
      <c r="F52" t="s">
        <v>173</v>
      </c>
      <c r="G52" t="s">
        <v>528</v>
      </c>
      <c r="H52">
        <v>0</v>
      </c>
      <c r="I52">
        <v>0</v>
      </c>
      <c r="J52" t="s">
        <v>143</v>
      </c>
    </row>
    <row r="53" spans="1:10">
      <c r="A53">
        <v>15</v>
      </c>
      <c r="B53" t="s">
        <v>121</v>
      </c>
      <c r="C53">
        <v>7</v>
      </c>
      <c r="D53" s="15">
        <v>45818</v>
      </c>
      <c r="E53" t="s">
        <v>527</v>
      </c>
      <c r="F53" t="s">
        <v>173</v>
      </c>
      <c r="G53" t="s">
        <v>526</v>
      </c>
      <c r="H53">
        <v>2</v>
      </c>
      <c r="I53">
        <v>1</v>
      </c>
      <c r="J53" t="s">
        <v>129</v>
      </c>
    </row>
    <row r="54" spans="1:10">
      <c r="A54">
        <v>15</v>
      </c>
      <c r="B54" t="s">
        <v>121</v>
      </c>
      <c r="C54">
        <v>8</v>
      </c>
      <c r="D54" s="15">
        <v>45813</v>
      </c>
      <c r="E54" t="s">
        <v>527</v>
      </c>
      <c r="F54" t="s">
        <v>171</v>
      </c>
      <c r="G54" t="s">
        <v>526</v>
      </c>
      <c r="H54">
        <v>1</v>
      </c>
      <c r="I54">
        <v>0</v>
      </c>
      <c r="J54" t="s">
        <v>154</v>
      </c>
    </row>
    <row r="55" spans="1:10">
      <c r="A55">
        <v>15</v>
      </c>
      <c r="B55" t="s">
        <v>121</v>
      </c>
      <c r="C55">
        <v>9</v>
      </c>
      <c r="D55" s="15">
        <v>45741</v>
      </c>
      <c r="E55" t="s">
        <v>527</v>
      </c>
      <c r="F55" t="s">
        <v>173</v>
      </c>
      <c r="G55" t="s">
        <v>526</v>
      </c>
      <c r="H55">
        <v>2</v>
      </c>
      <c r="I55">
        <v>0</v>
      </c>
      <c r="J55" t="s">
        <v>399</v>
      </c>
    </row>
    <row r="56" spans="1:10">
      <c r="A56">
        <v>15</v>
      </c>
      <c r="B56" t="s">
        <v>121</v>
      </c>
      <c r="C56">
        <v>10</v>
      </c>
      <c r="D56" s="15">
        <v>45736</v>
      </c>
      <c r="E56" t="s">
        <v>527</v>
      </c>
      <c r="F56" t="s">
        <v>171</v>
      </c>
      <c r="G56" t="s">
        <v>526</v>
      </c>
      <c r="H56">
        <v>5</v>
      </c>
      <c r="I56">
        <v>1</v>
      </c>
      <c r="J56" t="s">
        <v>428</v>
      </c>
    </row>
    <row r="57" spans="1:10">
      <c r="A57">
        <v>16</v>
      </c>
      <c r="B57" t="s">
        <v>142</v>
      </c>
      <c r="C57">
        <v>3</v>
      </c>
      <c r="D57" s="15">
        <v>45979</v>
      </c>
      <c r="E57" t="s">
        <v>527</v>
      </c>
      <c r="F57" t="s">
        <v>173</v>
      </c>
      <c r="G57" t="s">
        <v>528</v>
      </c>
      <c r="H57">
        <v>2</v>
      </c>
      <c r="I57">
        <v>2</v>
      </c>
      <c r="J57" t="s">
        <v>128</v>
      </c>
    </row>
    <row r="58" spans="1:10">
      <c r="A58">
        <v>16</v>
      </c>
      <c r="B58" t="s">
        <v>142</v>
      </c>
      <c r="C58">
        <v>4</v>
      </c>
      <c r="D58" s="15">
        <v>45976</v>
      </c>
      <c r="E58" t="s">
        <v>527</v>
      </c>
      <c r="F58" t="s">
        <v>171</v>
      </c>
      <c r="G58" t="s">
        <v>526</v>
      </c>
      <c r="H58">
        <v>2</v>
      </c>
      <c r="I58">
        <v>0</v>
      </c>
      <c r="J58" t="s">
        <v>394</v>
      </c>
    </row>
    <row r="59" spans="1:10">
      <c r="A59">
        <v>16</v>
      </c>
      <c r="B59" t="s">
        <v>142</v>
      </c>
      <c r="C59">
        <v>5</v>
      </c>
      <c r="D59" s="15">
        <v>45944</v>
      </c>
      <c r="E59" t="s">
        <v>527</v>
      </c>
      <c r="F59" t="s">
        <v>171</v>
      </c>
      <c r="G59" t="s">
        <v>526</v>
      </c>
      <c r="H59">
        <v>4</v>
      </c>
      <c r="I59">
        <v>1</v>
      </c>
      <c r="J59" t="s">
        <v>382</v>
      </c>
    </row>
    <row r="60" spans="1:10">
      <c r="A60">
        <v>16</v>
      </c>
      <c r="B60" t="s">
        <v>142</v>
      </c>
      <c r="C60">
        <v>6</v>
      </c>
      <c r="D60" s="15">
        <v>45941</v>
      </c>
      <c r="E60" t="s">
        <v>527</v>
      </c>
      <c r="F60" t="s">
        <v>173</v>
      </c>
      <c r="G60" t="s">
        <v>526</v>
      </c>
      <c r="H60">
        <v>6</v>
      </c>
      <c r="I60">
        <v>1</v>
      </c>
      <c r="J60" t="s">
        <v>394</v>
      </c>
    </row>
    <row r="61" spans="1:10">
      <c r="A61">
        <v>16</v>
      </c>
      <c r="B61" t="s">
        <v>142</v>
      </c>
      <c r="C61">
        <v>7</v>
      </c>
      <c r="D61" s="15">
        <v>45907</v>
      </c>
      <c r="E61" t="s">
        <v>527</v>
      </c>
      <c r="F61" t="s">
        <v>171</v>
      </c>
      <c r="G61" t="s">
        <v>525</v>
      </c>
      <c r="H61">
        <v>0</v>
      </c>
      <c r="I61">
        <v>6</v>
      </c>
      <c r="J61" t="s">
        <v>128</v>
      </c>
    </row>
    <row r="62" spans="1:10">
      <c r="A62">
        <v>16</v>
      </c>
      <c r="B62" t="s">
        <v>142</v>
      </c>
      <c r="C62">
        <v>8</v>
      </c>
      <c r="D62" s="15">
        <v>45904</v>
      </c>
      <c r="E62" t="s">
        <v>527</v>
      </c>
      <c r="F62" t="s">
        <v>173</v>
      </c>
      <c r="G62" t="s">
        <v>526</v>
      </c>
      <c r="H62">
        <v>3</v>
      </c>
      <c r="I62">
        <v>2</v>
      </c>
      <c r="J62" t="s">
        <v>382</v>
      </c>
    </row>
    <row r="63" spans="1:10">
      <c r="A63">
        <v>17</v>
      </c>
      <c r="B63" t="s">
        <v>123</v>
      </c>
      <c r="C63">
        <v>1</v>
      </c>
      <c r="D63" s="15">
        <v>45816</v>
      </c>
      <c r="E63" t="s">
        <v>530</v>
      </c>
      <c r="F63" t="s">
        <v>524</v>
      </c>
      <c r="G63" t="s">
        <v>525</v>
      </c>
      <c r="H63">
        <v>0</v>
      </c>
      <c r="I63">
        <v>2</v>
      </c>
      <c r="J63" t="s">
        <v>131</v>
      </c>
    </row>
    <row r="64" spans="1:10">
      <c r="A64">
        <v>17</v>
      </c>
      <c r="B64" t="s">
        <v>123</v>
      </c>
      <c r="C64">
        <v>2</v>
      </c>
      <c r="D64" s="15">
        <v>45812</v>
      </c>
      <c r="E64" t="s">
        <v>530</v>
      </c>
      <c r="F64" t="s">
        <v>524</v>
      </c>
      <c r="G64" t="s">
        <v>525</v>
      </c>
      <c r="H64">
        <v>1</v>
      </c>
      <c r="I64">
        <v>2</v>
      </c>
      <c r="J64" t="s">
        <v>135</v>
      </c>
    </row>
    <row r="65" spans="1:10">
      <c r="A65">
        <v>17</v>
      </c>
      <c r="B65" t="s">
        <v>123</v>
      </c>
      <c r="C65">
        <v>3</v>
      </c>
      <c r="D65" s="15">
        <v>45739</v>
      </c>
      <c r="E65" t="s">
        <v>530</v>
      </c>
      <c r="F65" t="s">
        <v>171</v>
      </c>
      <c r="G65" t="s">
        <v>528</v>
      </c>
      <c r="H65">
        <v>3</v>
      </c>
      <c r="I65">
        <v>3</v>
      </c>
      <c r="J65" t="s">
        <v>355</v>
      </c>
    </row>
    <row r="66" spans="1:10">
      <c r="A66">
        <v>17</v>
      </c>
      <c r="B66" t="s">
        <v>123</v>
      </c>
      <c r="C66">
        <v>4</v>
      </c>
      <c r="D66" s="15">
        <v>45736</v>
      </c>
      <c r="E66" t="s">
        <v>530</v>
      </c>
      <c r="F66" t="s">
        <v>173</v>
      </c>
      <c r="G66" t="s">
        <v>526</v>
      </c>
      <c r="H66">
        <v>2</v>
      </c>
      <c r="I66">
        <v>1</v>
      </c>
      <c r="J66" t="s">
        <v>355</v>
      </c>
    </row>
    <row r="67" spans="1:10">
      <c r="A67">
        <v>17</v>
      </c>
      <c r="B67" t="s">
        <v>123</v>
      </c>
      <c r="C67">
        <v>5</v>
      </c>
      <c r="D67" s="15">
        <v>45615</v>
      </c>
      <c r="E67" t="s">
        <v>530</v>
      </c>
      <c r="F67" t="s">
        <v>173</v>
      </c>
      <c r="G67" t="s">
        <v>528</v>
      </c>
      <c r="H67">
        <v>1</v>
      </c>
      <c r="I67">
        <v>1</v>
      </c>
      <c r="J67" t="s">
        <v>364</v>
      </c>
    </row>
    <row r="68" spans="1:10">
      <c r="A68">
        <v>17</v>
      </c>
      <c r="B68" t="s">
        <v>123</v>
      </c>
      <c r="C68">
        <v>6</v>
      </c>
      <c r="D68" s="15">
        <v>45612</v>
      </c>
      <c r="E68" t="s">
        <v>530</v>
      </c>
      <c r="F68" t="s">
        <v>171</v>
      </c>
      <c r="G68" t="s">
        <v>526</v>
      </c>
      <c r="H68">
        <v>7</v>
      </c>
      <c r="I68">
        <v>0</v>
      </c>
      <c r="J68" t="s">
        <v>349</v>
      </c>
    </row>
    <row r="69" spans="1:10">
      <c r="A69">
        <v>17</v>
      </c>
      <c r="B69" t="s">
        <v>123</v>
      </c>
      <c r="C69">
        <v>7</v>
      </c>
      <c r="D69" s="15">
        <v>45579</v>
      </c>
      <c r="E69" t="s">
        <v>530</v>
      </c>
      <c r="F69" t="s">
        <v>171</v>
      </c>
      <c r="G69" t="s">
        <v>526</v>
      </c>
      <c r="H69">
        <v>1</v>
      </c>
      <c r="I69">
        <v>0</v>
      </c>
      <c r="J69" t="s">
        <v>124</v>
      </c>
    </row>
    <row r="70" spans="1:10">
      <c r="A70">
        <v>17</v>
      </c>
      <c r="B70" t="s">
        <v>123</v>
      </c>
      <c r="C70">
        <v>8</v>
      </c>
      <c r="D70" s="15">
        <v>45576</v>
      </c>
      <c r="E70" t="s">
        <v>530</v>
      </c>
      <c r="F70" t="s">
        <v>173</v>
      </c>
      <c r="G70" t="s">
        <v>526</v>
      </c>
      <c r="H70">
        <v>2</v>
      </c>
      <c r="I70">
        <v>1</v>
      </c>
      <c r="J70" t="s">
        <v>349</v>
      </c>
    </row>
    <row r="71" spans="1:10">
      <c r="A71">
        <v>17</v>
      </c>
      <c r="B71" t="s">
        <v>123</v>
      </c>
      <c r="C71">
        <v>9</v>
      </c>
      <c r="D71" s="15">
        <v>45545</v>
      </c>
      <c r="E71" t="s">
        <v>530</v>
      </c>
      <c r="F71" t="s">
        <v>173</v>
      </c>
      <c r="G71" t="s">
        <v>528</v>
      </c>
      <c r="H71">
        <v>2</v>
      </c>
      <c r="I71">
        <v>2</v>
      </c>
      <c r="J71" t="s">
        <v>124</v>
      </c>
    </row>
    <row r="72" spans="1:10">
      <c r="A72">
        <v>17</v>
      </c>
      <c r="B72" t="s">
        <v>123</v>
      </c>
      <c r="C72">
        <v>10</v>
      </c>
      <c r="D72" s="15">
        <v>45542</v>
      </c>
      <c r="E72" t="s">
        <v>530</v>
      </c>
      <c r="F72" t="s">
        <v>171</v>
      </c>
      <c r="G72" t="s">
        <v>526</v>
      </c>
      <c r="H72">
        <v>5</v>
      </c>
      <c r="I72">
        <v>0</v>
      </c>
      <c r="J72" t="s">
        <v>364</v>
      </c>
    </row>
    <row r="73" spans="1:10">
      <c r="A73">
        <v>18</v>
      </c>
      <c r="B73" t="s">
        <v>153</v>
      </c>
      <c r="C73">
        <v>3</v>
      </c>
      <c r="D73" s="15">
        <v>45979</v>
      </c>
      <c r="E73" t="s">
        <v>527</v>
      </c>
      <c r="F73" t="s">
        <v>173</v>
      </c>
      <c r="G73" t="s">
        <v>528</v>
      </c>
      <c r="H73">
        <v>0</v>
      </c>
      <c r="I73">
        <v>0</v>
      </c>
      <c r="J73" t="s">
        <v>381</v>
      </c>
    </row>
    <row r="74" spans="1:10">
      <c r="A74">
        <v>18</v>
      </c>
      <c r="B74" t="s">
        <v>153</v>
      </c>
      <c r="C74">
        <v>4</v>
      </c>
      <c r="D74" s="15">
        <v>45974</v>
      </c>
      <c r="E74" t="s">
        <v>527</v>
      </c>
      <c r="F74" t="s">
        <v>173</v>
      </c>
      <c r="G74" t="s">
        <v>526</v>
      </c>
      <c r="H74">
        <v>7</v>
      </c>
      <c r="I74">
        <v>0</v>
      </c>
      <c r="J74" t="s">
        <v>475</v>
      </c>
    </row>
    <row r="75" spans="1:10">
      <c r="A75">
        <v>18</v>
      </c>
      <c r="B75" t="s">
        <v>153</v>
      </c>
      <c r="C75">
        <v>5</v>
      </c>
      <c r="D75" s="15">
        <v>45944</v>
      </c>
      <c r="E75" t="s">
        <v>527</v>
      </c>
      <c r="F75" t="s">
        <v>171</v>
      </c>
      <c r="G75" t="s">
        <v>528</v>
      </c>
      <c r="H75">
        <v>1</v>
      </c>
      <c r="I75">
        <v>1</v>
      </c>
      <c r="J75" t="s">
        <v>532</v>
      </c>
    </row>
    <row r="76" spans="1:10">
      <c r="A76">
        <v>18</v>
      </c>
      <c r="B76" t="s">
        <v>153</v>
      </c>
      <c r="C76">
        <v>6</v>
      </c>
      <c r="D76" s="15">
        <v>45940</v>
      </c>
      <c r="E76" t="s">
        <v>527</v>
      </c>
      <c r="F76" t="s">
        <v>171</v>
      </c>
      <c r="G76" t="s">
        <v>526</v>
      </c>
      <c r="H76">
        <v>2</v>
      </c>
      <c r="I76">
        <v>0</v>
      </c>
      <c r="J76" t="s">
        <v>381</v>
      </c>
    </row>
    <row r="77" spans="1:10">
      <c r="A77">
        <v>18</v>
      </c>
      <c r="B77" t="s">
        <v>153</v>
      </c>
      <c r="C77">
        <v>7</v>
      </c>
      <c r="D77" s="15">
        <v>45909</v>
      </c>
      <c r="E77" t="s">
        <v>527</v>
      </c>
      <c r="F77" t="s">
        <v>171</v>
      </c>
      <c r="G77" t="s">
        <v>526</v>
      </c>
      <c r="H77">
        <v>3</v>
      </c>
      <c r="I77">
        <v>2</v>
      </c>
      <c r="J77" t="s">
        <v>475</v>
      </c>
    </row>
    <row r="78" spans="1:10">
      <c r="A78">
        <v>18</v>
      </c>
      <c r="B78" t="s">
        <v>153</v>
      </c>
      <c r="C78">
        <v>8</v>
      </c>
      <c r="D78" s="15">
        <v>45905</v>
      </c>
      <c r="E78" t="s">
        <v>527</v>
      </c>
      <c r="F78" t="s">
        <v>173</v>
      </c>
      <c r="G78" t="s">
        <v>528</v>
      </c>
      <c r="H78">
        <v>0</v>
      </c>
      <c r="I78">
        <v>0</v>
      </c>
      <c r="J78" t="s">
        <v>532</v>
      </c>
    </row>
    <row r="79" spans="1:10">
      <c r="A79">
        <v>18</v>
      </c>
      <c r="B79" t="s">
        <v>153</v>
      </c>
      <c r="C79">
        <v>9</v>
      </c>
      <c r="D79" s="15">
        <v>45832</v>
      </c>
      <c r="E79" t="s">
        <v>531</v>
      </c>
      <c r="F79" t="s">
        <v>524</v>
      </c>
      <c r="G79" t="s">
        <v>525</v>
      </c>
      <c r="H79">
        <v>1</v>
      </c>
      <c r="I79">
        <v>2</v>
      </c>
      <c r="J79" t="s">
        <v>378</v>
      </c>
    </row>
    <row r="80" spans="1:10">
      <c r="A80">
        <v>18</v>
      </c>
      <c r="B80" t="s">
        <v>153</v>
      </c>
      <c r="C80">
        <v>10</v>
      </c>
      <c r="D80" s="15">
        <v>45829</v>
      </c>
      <c r="E80" t="s">
        <v>531</v>
      </c>
      <c r="F80" t="s">
        <v>524</v>
      </c>
      <c r="G80" t="s">
        <v>528</v>
      </c>
      <c r="H80">
        <v>1</v>
      </c>
      <c r="I80">
        <v>1</v>
      </c>
      <c r="J80" t="s">
        <v>117</v>
      </c>
    </row>
    <row r="81" spans="1:10">
      <c r="A81">
        <v>19</v>
      </c>
      <c r="B81" t="s">
        <v>533</v>
      </c>
      <c r="C81">
        <v>1</v>
      </c>
      <c r="D81" s="15">
        <v>46032</v>
      </c>
      <c r="E81" t="s">
        <v>523</v>
      </c>
      <c r="F81" t="s">
        <v>524</v>
      </c>
      <c r="G81" t="s">
        <v>525</v>
      </c>
      <c r="H81">
        <v>2</v>
      </c>
      <c r="I81">
        <v>3</v>
      </c>
      <c r="J81" t="s">
        <v>158</v>
      </c>
    </row>
    <row r="82" spans="1:10">
      <c r="A82">
        <v>19</v>
      </c>
      <c r="B82" t="s">
        <v>533</v>
      </c>
      <c r="C82">
        <v>2</v>
      </c>
      <c r="D82" s="15">
        <v>46028</v>
      </c>
      <c r="E82" t="s">
        <v>523</v>
      </c>
      <c r="F82" t="s">
        <v>524</v>
      </c>
      <c r="G82" t="s">
        <v>526</v>
      </c>
      <c r="H82">
        <v>3</v>
      </c>
      <c r="I82">
        <v>0</v>
      </c>
      <c r="J82" t="s">
        <v>376</v>
      </c>
    </row>
    <row r="83" spans="1:10">
      <c r="A83">
        <v>19</v>
      </c>
      <c r="B83" t="s">
        <v>533</v>
      </c>
      <c r="C83">
        <v>3</v>
      </c>
      <c r="D83" s="15">
        <v>46022</v>
      </c>
      <c r="E83" t="s">
        <v>523</v>
      </c>
      <c r="F83" t="s">
        <v>524</v>
      </c>
      <c r="G83" t="s">
        <v>526</v>
      </c>
      <c r="H83">
        <v>3</v>
      </c>
      <c r="I83">
        <v>2</v>
      </c>
      <c r="J83" t="s">
        <v>387</v>
      </c>
    </row>
    <row r="84" spans="1:10">
      <c r="A84">
        <v>19</v>
      </c>
      <c r="B84" t="s">
        <v>533</v>
      </c>
      <c r="C84">
        <v>4</v>
      </c>
      <c r="D84" s="15">
        <v>46019</v>
      </c>
      <c r="E84" t="s">
        <v>523</v>
      </c>
      <c r="F84" t="s">
        <v>524</v>
      </c>
      <c r="G84" t="s">
        <v>528</v>
      </c>
      <c r="H84">
        <v>1</v>
      </c>
      <c r="I84">
        <v>1</v>
      </c>
      <c r="J84" t="s">
        <v>374</v>
      </c>
    </row>
    <row r="85" spans="1:10">
      <c r="A85">
        <v>19</v>
      </c>
      <c r="B85" t="s">
        <v>533</v>
      </c>
      <c r="C85">
        <v>5</v>
      </c>
      <c r="D85" s="15">
        <v>46015</v>
      </c>
      <c r="E85" t="s">
        <v>523</v>
      </c>
      <c r="F85" t="s">
        <v>524</v>
      </c>
      <c r="G85" t="s">
        <v>526</v>
      </c>
      <c r="H85">
        <v>1</v>
      </c>
      <c r="I85">
        <v>0</v>
      </c>
      <c r="J85" t="s">
        <v>408</v>
      </c>
    </row>
    <row r="86" spans="1:10">
      <c r="A86">
        <v>19</v>
      </c>
      <c r="B86" t="s">
        <v>533</v>
      </c>
      <c r="C86">
        <v>8</v>
      </c>
      <c r="D86" s="15">
        <v>45615</v>
      </c>
      <c r="E86" t="s">
        <v>534</v>
      </c>
      <c r="F86" t="s">
        <v>171</v>
      </c>
      <c r="G86" t="s">
        <v>526</v>
      </c>
      <c r="H86">
        <v>4</v>
      </c>
      <c r="I86">
        <v>0</v>
      </c>
      <c r="J86" t="s">
        <v>483</v>
      </c>
    </row>
    <row r="87" spans="1:10">
      <c r="A87">
        <v>19</v>
      </c>
      <c r="B87" t="s">
        <v>533</v>
      </c>
      <c r="C87">
        <v>9</v>
      </c>
      <c r="D87" s="15">
        <v>45611</v>
      </c>
      <c r="E87" t="s">
        <v>534</v>
      </c>
      <c r="F87" t="s">
        <v>173</v>
      </c>
      <c r="G87" t="s">
        <v>525</v>
      </c>
      <c r="H87">
        <v>0</v>
      </c>
      <c r="I87">
        <v>1</v>
      </c>
      <c r="J87" t="s">
        <v>397</v>
      </c>
    </row>
    <row r="88" spans="1:10">
      <c r="A88">
        <v>19</v>
      </c>
      <c r="B88" t="s">
        <v>533</v>
      </c>
      <c r="C88">
        <v>10</v>
      </c>
      <c r="D88" s="15">
        <v>45580</v>
      </c>
      <c r="E88" t="s">
        <v>534</v>
      </c>
      <c r="F88" t="s">
        <v>524</v>
      </c>
      <c r="G88" t="s">
        <v>525</v>
      </c>
      <c r="H88">
        <v>0</v>
      </c>
      <c r="I88">
        <v>1</v>
      </c>
      <c r="J88" t="s">
        <v>426</v>
      </c>
    </row>
    <row r="89" spans="1:10">
      <c r="A89">
        <v>20</v>
      </c>
      <c r="B89" t="s">
        <v>143</v>
      </c>
      <c r="C89">
        <v>9</v>
      </c>
      <c r="D89" s="15">
        <v>45909</v>
      </c>
      <c r="E89" t="s">
        <v>527</v>
      </c>
      <c r="F89" t="s">
        <v>171</v>
      </c>
      <c r="G89" t="s">
        <v>526</v>
      </c>
      <c r="H89">
        <v>1</v>
      </c>
      <c r="I89">
        <v>0</v>
      </c>
      <c r="J89" t="s">
        <v>133</v>
      </c>
    </row>
    <row r="90" spans="1:10">
      <c r="A90">
        <v>20</v>
      </c>
      <c r="B90" t="s">
        <v>143</v>
      </c>
      <c r="C90">
        <v>10</v>
      </c>
      <c r="D90" s="15">
        <v>45813</v>
      </c>
      <c r="E90" t="s">
        <v>527</v>
      </c>
      <c r="F90" t="s">
        <v>171</v>
      </c>
      <c r="G90" t="s">
        <v>528</v>
      </c>
      <c r="H90">
        <v>0</v>
      </c>
      <c r="I90">
        <v>0</v>
      </c>
      <c r="J90" t="s">
        <v>120</v>
      </c>
    </row>
    <row r="91" spans="1:10">
      <c r="A91">
        <v>21</v>
      </c>
      <c r="B91" t="s">
        <v>124</v>
      </c>
      <c r="C91">
        <v>5</v>
      </c>
      <c r="D91" s="15">
        <v>45739</v>
      </c>
      <c r="E91" t="s">
        <v>530</v>
      </c>
      <c r="F91" t="s">
        <v>173</v>
      </c>
      <c r="G91" t="s">
        <v>528</v>
      </c>
      <c r="H91">
        <v>3</v>
      </c>
      <c r="I91">
        <v>3</v>
      </c>
      <c r="J91" t="s">
        <v>128</v>
      </c>
    </row>
    <row r="92" spans="1:10">
      <c r="A92">
        <v>21</v>
      </c>
      <c r="B92" t="s">
        <v>124</v>
      </c>
      <c r="C92">
        <v>6</v>
      </c>
      <c r="D92" s="15">
        <v>45736</v>
      </c>
      <c r="E92" t="s">
        <v>530</v>
      </c>
      <c r="F92" t="s">
        <v>171</v>
      </c>
      <c r="G92" t="s">
        <v>528</v>
      </c>
      <c r="H92">
        <v>2</v>
      </c>
      <c r="I92">
        <v>2</v>
      </c>
      <c r="J92" t="s">
        <v>128</v>
      </c>
    </row>
    <row r="93" spans="1:10">
      <c r="A93">
        <v>21</v>
      </c>
      <c r="B93" t="s">
        <v>124</v>
      </c>
      <c r="C93">
        <v>7</v>
      </c>
      <c r="D93" s="15">
        <v>45615</v>
      </c>
      <c r="E93" t="s">
        <v>530</v>
      </c>
      <c r="F93" t="s">
        <v>173</v>
      </c>
      <c r="G93" t="s">
        <v>528</v>
      </c>
      <c r="H93">
        <v>1</v>
      </c>
      <c r="I93">
        <v>1</v>
      </c>
      <c r="J93" t="s">
        <v>349</v>
      </c>
    </row>
    <row r="94" spans="1:10">
      <c r="A94">
        <v>21</v>
      </c>
      <c r="B94" t="s">
        <v>124</v>
      </c>
      <c r="C94">
        <v>8</v>
      </c>
      <c r="D94" s="15">
        <v>45612</v>
      </c>
      <c r="E94" t="s">
        <v>530</v>
      </c>
      <c r="F94" t="s">
        <v>171</v>
      </c>
      <c r="G94" t="s">
        <v>526</v>
      </c>
      <c r="H94">
        <v>4</v>
      </c>
      <c r="I94">
        <v>0</v>
      </c>
      <c r="J94" t="s">
        <v>364</v>
      </c>
    </row>
    <row r="95" spans="1:10">
      <c r="A95">
        <v>21</v>
      </c>
      <c r="B95" t="s">
        <v>124</v>
      </c>
      <c r="C95">
        <v>9</v>
      </c>
      <c r="D95" s="15">
        <v>45579</v>
      </c>
      <c r="E95" t="s">
        <v>530</v>
      </c>
      <c r="F95" t="s">
        <v>173</v>
      </c>
      <c r="G95" t="s">
        <v>525</v>
      </c>
      <c r="H95">
        <v>0</v>
      </c>
      <c r="I95">
        <v>1</v>
      </c>
      <c r="J95" t="s">
        <v>123</v>
      </c>
    </row>
    <row r="96" spans="1:10">
      <c r="A96">
        <v>21</v>
      </c>
      <c r="B96" t="s">
        <v>124</v>
      </c>
      <c r="C96">
        <v>10</v>
      </c>
      <c r="D96" s="15">
        <v>45576</v>
      </c>
      <c r="E96" t="s">
        <v>530</v>
      </c>
      <c r="F96" t="s">
        <v>173</v>
      </c>
      <c r="G96" t="s">
        <v>528</v>
      </c>
      <c r="H96">
        <v>1</v>
      </c>
      <c r="I96">
        <v>1</v>
      </c>
      <c r="J96" t="s">
        <v>364</v>
      </c>
    </row>
    <row r="97" spans="1:10">
      <c r="A97">
        <v>22</v>
      </c>
      <c r="B97" t="s">
        <v>154</v>
      </c>
      <c r="C97">
        <v>10</v>
      </c>
      <c r="D97" s="15">
        <v>45818</v>
      </c>
      <c r="E97" t="s">
        <v>527</v>
      </c>
      <c r="F97" t="s">
        <v>171</v>
      </c>
      <c r="G97" t="s">
        <v>526</v>
      </c>
      <c r="H97">
        <v>6</v>
      </c>
      <c r="I97">
        <v>0</v>
      </c>
      <c r="J97" t="s">
        <v>428</v>
      </c>
    </row>
    <row r="98" spans="1:10">
      <c r="A98">
        <v>23</v>
      </c>
      <c r="B98" t="s">
        <v>126</v>
      </c>
      <c r="C98">
        <v>7</v>
      </c>
      <c r="D98" s="15">
        <v>45615</v>
      </c>
      <c r="E98" t="s">
        <v>530</v>
      </c>
      <c r="F98" t="s">
        <v>171</v>
      </c>
      <c r="G98" t="s">
        <v>526</v>
      </c>
      <c r="H98">
        <v>6</v>
      </c>
      <c r="I98">
        <v>0</v>
      </c>
      <c r="J98" t="s">
        <v>433</v>
      </c>
    </row>
    <row r="99" spans="1:10">
      <c r="A99">
        <v>23</v>
      </c>
      <c r="B99" t="s">
        <v>126</v>
      </c>
      <c r="C99">
        <v>8</v>
      </c>
      <c r="D99" s="15">
        <v>45612</v>
      </c>
      <c r="E99" t="s">
        <v>530</v>
      </c>
      <c r="F99" t="s">
        <v>171</v>
      </c>
      <c r="G99" t="s">
        <v>526</v>
      </c>
      <c r="H99">
        <v>2</v>
      </c>
      <c r="I99">
        <v>1</v>
      </c>
      <c r="J99" t="s">
        <v>365</v>
      </c>
    </row>
    <row r="100" spans="1:10">
      <c r="A100">
        <v>23</v>
      </c>
      <c r="B100" t="s">
        <v>126</v>
      </c>
      <c r="C100">
        <v>9</v>
      </c>
      <c r="D100" s="15">
        <v>45579</v>
      </c>
      <c r="E100" t="s">
        <v>530</v>
      </c>
      <c r="F100" t="s">
        <v>173</v>
      </c>
      <c r="G100" t="s">
        <v>526</v>
      </c>
      <c r="H100">
        <v>3</v>
      </c>
      <c r="I100">
        <v>0</v>
      </c>
      <c r="J100" t="s">
        <v>436</v>
      </c>
    </row>
    <row r="101" spans="1:10">
      <c r="A101">
        <v>23</v>
      </c>
      <c r="B101" t="s">
        <v>126</v>
      </c>
      <c r="C101">
        <v>10</v>
      </c>
      <c r="D101" s="15">
        <v>45576</v>
      </c>
      <c r="E101" t="s">
        <v>530</v>
      </c>
      <c r="F101" t="s">
        <v>173</v>
      </c>
      <c r="G101" t="s">
        <v>528</v>
      </c>
      <c r="H101">
        <v>2</v>
      </c>
      <c r="I101">
        <v>2</v>
      </c>
      <c r="J101" t="s">
        <v>365</v>
      </c>
    </row>
    <row r="102" spans="1:10">
      <c r="A102">
        <v>24</v>
      </c>
      <c r="B102" t="s">
        <v>144</v>
      </c>
      <c r="C102">
        <v>5</v>
      </c>
      <c r="D102" s="15">
        <v>46025</v>
      </c>
      <c r="E102" t="s">
        <v>523</v>
      </c>
      <c r="F102" t="s">
        <v>524</v>
      </c>
      <c r="G102" t="s">
        <v>528</v>
      </c>
      <c r="H102">
        <v>1</v>
      </c>
      <c r="I102">
        <v>1</v>
      </c>
      <c r="J102" t="s">
        <v>372</v>
      </c>
    </row>
    <row r="103" spans="1:10">
      <c r="A103">
        <v>24</v>
      </c>
      <c r="B103" t="s">
        <v>144</v>
      </c>
      <c r="C103">
        <v>6</v>
      </c>
      <c r="D103" s="15">
        <v>46021</v>
      </c>
      <c r="E103" t="s">
        <v>523</v>
      </c>
      <c r="F103" t="s">
        <v>524</v>
      </c>
      <c r="G103" t="s">
        <v>528</v>
      </c>
      <c r="H103">
        <v>1</v>
      </c>
      <c r="I103">
        <v>1</v>
      </c>
      <c r="J103" t="s">
        <v>418</v>
      </c>
    </row>
    <row r="104" spans="1:10">
      <c r="A104">
        <v>24</v>
      </c>
      <c r="B104" t="s">
        <v>144</v>
      </c>
      <c r="C104">
        <v>7</v>
      </c>
      <c r="D104" s="15">
        <v>46018</v>
      </c>
      <c r="E104" t="s">
        <v>523</v>
      </c>
      <c r="F104" t="s">
        <v>524</v>
      </c>
      <c r="G104" t="s">
        <v>525</v>
      </c>
      <c r="H104">
        <v>2</v>
      </c>
      <c r="I104">
        <v>3</v>
      </c>
      <c r="J104" t="s">
        <v>363</v>
      </c>
    </row>
    <row r="105" spans="1:10">
      <c r="A105">
        <v>24</v>
      </c>
      <c r="B105" t="s">
        <v>144</v>
      </c>
      <c r="C105">
        <v>8</v>
      </c>
      <c r="D105" s="15">
        <v>46014</v>
      </c>
      <c r="E105" t="s">
        <v>523</v>
      </c>
      <c r="F105" t="s">
        <v>524</v>
      </c>
      <c r="G105" t="s">
        <v>526</v>
      </c>
      <c r="H105">
        <v>3</v>
      </c>
      <c r="I105">
        <v>1</v>
      </c>
      <c r="J105" t="s">
        <v>392</v>
      </c>
    </row>
    <row r="106" spans="1:10">
      <c r="A106">
        <v>25</v>
      </c>
      <c r="B106" t="s">
        <v>127</v>
      </c>
      <c r="C106">
        <v>1</v>
      </c>
      <c r="D106" s="15">
        <v>45979</v>
      </c>
      <c r="E106" t="s">
        <v>527</v>
      </c>
      <c r="F106" t="s">
        <v>171</v>
      </c>
      <c r="G106" t="s">
        <v>526</v>
      </c>
      <c r="H106">
        <v>7</v>
      </c>
      <c r="I106">
        <v>0</v>
      </c>
      <c r="J106" t="s">
        <v>511</v>
      </c>
    </row>
    <row r="107" spans="1:10">
      <c r="A107">
        <v>25</v>
      </c>
      <c r="B107" t="s">
        <v>127</v>
      </c>
      <c r="C107">
        <v>2</v>
      </c>
      <c r="D107" s="15">
        <v>45976</v>
      </c>
      <c r="E107" t="s">
        <v>527</v>
      </c>
      <c r="F107" t="s">
        <v>173</v>
      </c>
      <c r="G107" t="s">
        <v>528</v>
      </c>
      <c r="H107">
        <v>1</v>
      </c>
      <c r="I107">
        <v>1</v>
      </c>
      <c r="J107" t="s">
        <v>420</v>
      </c>
    </row>
    <row r="108" spans="1:10">
      <c r="A108">
        <v>25</v>
      </c>
      <c r="B108" t="s">
        <v>127</v>
      </c>
      <c r="C108">
        <v>3</v>
      </c>
      <c r="D108" s="15">
        <v>45943</v>
      </c>
      <c r="E108" t="s">
        <v>527</v>
      </c>
      <c r="F108" t="s">
        <v>173</v>
      </c>
      <c r="G108" t="s">
        <v>526</v>
      </c>
      <c r="H108">
        <v>4</v>
      </c>
      <c r="I108">
        <v>2</v>
      </c>
      <c r="J108" t="s">
        <v>360</v>
      </c>
    </row>
    <row r="109" spans="1:10">
      <c r="A109">
        <v>25</v>
      </c>
      <c r="B109" t="s">
        <v>127</v>
      </c>
      <c r="C109">
        <v>4</v>
      </c>
      <c r="D109" s="15">
        <v>45940</v>
      </c>
      <c r="E109" t="s">
        <v>527</v>
      </c>
      <c r="F109" t="s">
        <v>171</v>
      </c>
      <c r="G109" t="s">
        <v>528</v>
      </c>
      <c r="H109">
        <v>0</v>
      </c>
      <c r="I109">
        <v>0</v>
      </c>
      <c r="J109" t="s">
        <v>535</v>
      </c>
    </row>
    <row r="110" spans="1:10">
      <c r="A110">
        <v>25</v>
      </c>
      <c r="B110" t="s">
        <v>127</v>
      </c>
      <c r="C110">
        <v>5</v>
      </c>
      <c r="D110" s="15">
        <v>45907</v>
      </c>
      <c r="E110" t="s">
        <v>527</v>
      </c>
      <c r="F110" t="s">
        <v>171</v>
      </c>
      <c r="G110" t="s">
        <v>526</v>
      </c>
      <c r="H110">
        <v>6</v>
      </c>
      <c r="I110">
        <v>0</v>
      </c>
      <c r="J110" t="s">
        <v>420</v>
      </c>
    </row>
    <row r="111" spans="1:10">
      <c r="A111">
        <v>25</v>
      </c>
      <c r="B111" t="s">
        <v>127</v>
      </c>
      <c r="C111">
        <v>6</v>
      </c>
      <c r="D111" s="15">
        <v>45904</v>
      </c>
      <c r="E111" t="s">
        <v>527</v>
      </c>
      <c r="F111" t="s">
        <v>173</v>
      </c>
      <c r="G111" t="s">
        <v>526</v>
      </c>
      <c r="H111">
        <v>6</v>
      </c>
      <c r="I111">
        <v>0</v>
      </c>
      <c r="J111" t="s">
        <v>511</v>
      </c>
    </row>
    <row r="112" spans="1:10">
      <c r="A112">
        <v>25</v>
      </c>
      <c r="B112" t="s">
        <v>127</v>
      </c>
      <c r="C112">
        <v>7</v>
      </c>
      <c r="D112" s="15">
        <v>45817</v>
      </c>
      <c r="E112" t="s">
        <v>527</v>
      </c>
      <c r="F112" t="s">
        <v>171</v>
      </c>
      <c r="G112" t="s">
        <v>526</v>
      </c>
      <c r="H112">
        <v>4</v>
      </c>
      <c r="I112">
        <v>3</v>
      </c>
      <c r="J112" t="s">
        <v>360</v>
      </c>
    </row>
    <row r="113" spans="1:10">
      <c r="A113">
        <v>25</v>
      </c>
      <c r="B113" t="s">
        <v>127</v>
      </c>
      <c r="C113">
        <v>8</v>
      </c>
      <c r="D113" s="15">
        <v>45814</v>
      </c>
      <c r="E113" t="s">
        <v>527</v>
      </c>
      <c r="F113" t="s">
        <v>173</v>
      </c>
      <c r="G113" t="s">
        <v>528</v>
      </c>
      <c r="H113">
        <v>1</v>
      </c>
      <c r="I113">
        <v>1</v>
      </c>
      <c r="J113" t="s">
        <v>535</v>
      </c>
    </row>
    <row r="114" spans="1:10">
      <c r="A114">
        <v>26</v>
      </c>
      <c r="B114" t="s">
        <v>158</v>
      </c>
      <c r="C114">
        <v>1</v>
      </c>
      <c r="D114" s="15">
        <v>45942</v>
      </c>
      <c r="E114" t="s">
        <v>527</v>
      </c>
      <c r="F114" t="s">
        <v>171</v>
      </c>
      <c r="G114" t="s">
        <v>526</v>
      </c>
      <c r="H114">
        <v>1</v>
      </c>
      <c r="I114">
        <v>0</v>
      </c>
      <c r="J114" t="s">
        <v>439</v>
      </c>
    </row>
    <row r="115" spans="1:10">
      <c r="A115">
        <v>26</v>
      </c>
      <c r="B115" t="s">
        <v>158</v>
      </c>
      <c r="C115">
        <v>2</v>
      </c>
      <c r="D115" s="15">
        <v>45938</v>
      </c>
      <c r="E115" t="s">
        <v>527</v>
      </c>
      <c r="F115" t="s">
        <v>173</v>
      </c>
      <c r="G115" t="s">
        <v>526</v>
      </c>
      <c r="H115">
        <v>3</v>
      </c>
      <c r="I115">
        <v>0</v>
      </c>
      <c r="J115" t="s">
        <v>502</v>
      </c>
    </row>
    <row r="116" spans="1:10">
      <c r="A116">
        <v>26</v>
      </c>
      <c r="B116" t="s">
        <v>158</v>
      </c>
      <c r="C116">
        <v>3</v>
      </c>
      <c r="D116" s="15">
        <v>45909</v>
      </c>
      <c r="E116" t="s">
        <v>527</v>
      </c>
      <c r="F116" t="s">
        <v>173</v>
      </c>
      <c r="G116" t="s">
        <v>528</v>
      </c>
      <c r="H116">
        <v>0</v>
      </c>
      <c r="I116">
        <v>0</v>
      </c>
      <c r="J116" t="s">
        <v>376</v>
      </c>
    </row>
    <row r="117" spans="1:10">
      <c r="A117">
        <v>26</v>
      </c>
      <c r="B117" t="s">
        <v>158</v>
      </c>
      <c r="C117">
        <v>4</v>
      </c>
      <c r="D117" s="15">
        <v>45905</v>
      </c>
      <c r="E117" t="s">
        <v>527</v>
      </c>
      <c r="F117" t="s">
        <v>171</v>
      </c>
      <c r="G117" t="s">
        <v>526</v>
      </c>
      <c r="H117">
        <v>2</v>
      </c>
      <c r="I117">
        <v>0</v>
      </c>
      <c r="J117" t="s">
        <v>453</v>
      </c>
    </row>
    <row r="118" spans="1:10">
      <c r="A118">
        <v>26</v>
      </c>
      <c r="B118" t="s">
        <v>158</v>
      </c>
      <c r="C118">
        <v>5</v>
      </c>
      <c r="D118" s="15">
        <v>45741</v>
      </c>
      <c r="E118" t="s">
        <v>527</v>
      </c>
      <c r="F118" t="s">
        <v>171</v>
      </c>
      <c r="G118" t="s">
        <v>526</v>
      </c>
      <c r="H118">
        <v>1</v>
      </c>
      <c r="I118">
        <v>0</v>
      </c>
      <c r="J118" t="s">
        <v>426</v>
      </c>
    </row>
    <row r="119" spans="1:10">
      <c r="A119">
        <v>26</v>
      </c>
      <c r="B119" t="s">
        <v>158</v>
      </c>
      <c r="C119">
        <v>6</v>
      </c>
      <c r="D119" s="15">
        <v>45737</v>
      </c>
      <c r="E119" t="s">
        <v>527</v>
      </c>
      <c r="F119" t="s">
        <v>524</v>
      </c>
      <c r="G119" t="s">
        <v>526</v>
      </c>
      <c r="H119">
        <v>2</v>
      </c>
      <c r="I119">
        <v>0</v>
      </c>
      <c r="J119" t="s">
        <v>453</v>
      </c>
    </row>
    <row r="120" spans="1:10">
      <c r="A120">
        <v>26</v>
      </c>
      <c r="B120" t="s">
        <v>158</v>
      </c>
      <c r="C120">
        <v>7</v>
      </c>
      <c r="D120" s="15">
        <v>45453</v>
      </c>
      <c r="E120" t="s">
        <v>527</v>
      </c>
      <c r="F120" t="s">
        <v>173</v>
      </c>
      <c r="G120" t="s">
        <v>528</v>
      </c>
      <c r="H120">
        <v>1</v>
      </c>
      <c r="I120">
        <v>1</v>
      </c>
      <c r="J120" t="s">
        <v>439</v>
      </c>
    </row>
    <row r="121" spans="1:10">
      <c r="A121">
        <v>26</v>
      </c>
      <c r="B121" t="s">
        <v>158</v>
      </c>
      <c r="C121">
        <v>8</v>
      </c>
      <c r="D121" s="15">
        <v>45449</v>
      </c>
      <c r="E121" t="s">
        <v>527</v>
      </c>
      <c r="F121" t="s">
        <v>171</v>
      </c>
      <c r="G121" t="s">
        <v>526</v>
      </c>
      <c r="H121">
        <v>2</v>
      </c>
      <c r="I121">
        <v>1</v>
      </c>
      <c r="J121" t="s">
        <v>376</v>
      </c>
    </row>
    <row r="122" spans="1:10">
      <c r="A122">
        <v>26</v>
      </c>
      <c r="B122" t="s">
        <v>158</v>
      </c>
      <c r="C122">
        <v>9</v>
      </c>
      <c r="D122" s="15">
        <v>45249</v>
      </c>
      <c r="E122" t="s">
        <v>527</v>
      </c>
      <c r="F122" t="s">
        <v>524</v>
      </c>
      <c r="G122" t="s">
        <v>526</v>
      </c>
      <c r="H122">
        <v>2</v>
      </c>
      <c r="I122">
        <v>0</v>
      </c>
      <c r="J122" t="s">
        <v>426</v>
      </c>
    </row>
    <row r="123" spans="1:10">
      <c r="A123">
        <v>26</v>
      </c>
      <c r="B123" t="s">
        <v>158</v>
      </c>
      <c r="C123">
        <v>10</v>
      </c>
      <c r="D123" s="15">
        <v>45246</v>
      </c>
      <c r="E123" t="s">
        <v>527</v>
      </c>
      <c r="F123" t="s">
        <v>171</v>
      </c>
      <c r="G123" t="s">
        <v>526</v>
      </c>
      <c r="H123">
        <v>6</v>
      </c>
      <c r="I123">
        <v>0</v>
      </c>
      <c r="J123" t="s">
        <v>502</v>
      </c>
    </row>
    <row r="124" spans="1:10">
      <c r="A124">
        <v>27</v>
      </c>
      <c r="B124" t="s">
        <v>130</v>
      </c>
      <c r="C124">
        <v>1</v>
      </c>
      <c r="D124" s="15">
        <v>45818</v>
      </c>
      <c r="E124" t="s">
        <v>527</v>
      </c>
      <c r="F124" t="s">
        <v>171</v>
      </c>
      <c r="G124" t="s">
        <v>526</v>
      </c>
      <c r="H124">
        <v>3</v>
      </c>
      <c r="I124">
        <v>0</v>
      </c>
      <c r="J124" t="s">
        <v>425</v>
      </c>
    </row>
    <row r="125" spans="1:10">
      <c r="A125">
        <v>27</v>
      </c>
      <c r="B125" t="s">
        <v>130</v>
      </c>
      <c r="C125">
        <v>2</v>
      </c>
      <c r="D125" s="15">
        <v>45813</v>
      </c>
      <c r="E125" t="s">
        <v>527</v>
      </c>
      <c r="F125" t="s">
        <v>173</v>
      </c>
      <c r="G125" t="s">
        <v>525</v>
      </c>
      <c r="H125">
        <v>0</v>
      </c>
      <c r="I125">
        <v>1</v>
      </c>
      <c r="J125" t="s">
        <v>119</v>
      </c>
    </row>
    <row r="126" spans="1:10">
      <c r="A126">
        <v>27</v>
      </c>
      <c r="B126" t="s">
        <v>130</v>
      </c>
      <c r="C126">
        <v>3</v>
      </c>
      <c r="D126" s="15">
        <v>45741</v>
      </c>
      <c r="E126" t="s">
        <v>527</v>
      </c>
      <c r="F126" t="s">
        <v>171</v>
      </c>
      <c r="G126" t="s">
        <v>528</v>
      </c>
      <c r="H126">
        <v>2</v>
      </c>
      <c r="I126">
        <v>2</v>
      </c>
      <c r="J126" t="s">
        <v>138</v>
      </c>
    </row>
    <row r="127" spans="1:10">
      <c r="A127">
        <v>27</v>
      </c>
      <c r="B127" t="s">
        <v>130</v>
      </c>
      <c r="C127">
        <v>4</v>
      </c>
      <c r="D127" s="15">
        <v>45736</v>
      </c>
      <c r="E127" t="s">
        <v>527</v>
      </c>
      <c r="F127" t="s">
        <v>171</v>
      </c>
      <c r="G127" t="s">
        <v>526</v>
      </c>
      <c r="H127">
        <v>2</v>
      </c>
      <c r="I127">
        <v>0</v>
      </c>
      <c r="J127" t="s">
        <v>529</v>
      </c>
    </row>
    <row r="128" spans="1:10">
      <c r="A128">
        <v>27</v>
      </c>
      <c r="B128" t="s">
        <v>130</v>
      </c>
      <c r="C128">
        <v>5</v>
      </c>
      <c r="D128" s="15">
        <v>45615</v>
      </c>
      <c r="E128" t="s">
        <v>527</v>
      </c>
      <c r="F128" t="s">
        <v>173</v>
      </c>
      <c r="G128" t="s">
        <v>526</v>
      </c>
      <c r="H128">
        <v>3</v>
      </c>
      <c r="I128">
        <v>2</v>
      </c>
      <c r="J128" t="s">
        <v>410</v>
      </c>
    </row>
    <row r="129" spans="1:10">
      <c r="A129">
        <v>27</v>
      </c>
      <c r="B129" t="s">
        <v>130</v>
      </c>
      <c r="C129">
        <v>6</v>
      </c>
      <c r="D129" s="15">
        <v>45610</v>
      </c>
      <c r="E129" t="s">
        <v>527</v>
      </c>
      <c r="F129" t="s">
        <v>524</v>
      </c>
      <c r="G129" t="s">
        <v>526</v>
      </c>
      <c r="H129">
        <v>3</v>
      </c>
      <c r="I129">
        <v>2</v>
      </c>
      <c r="J129" t="s">
        <v>425</v>
      </c>
    </row>
    <row r="130" spans="1:10">
      <c r="A130">
        <v>27</v>
      </c>
      <c r="B130" t="s">
        <v>130</v>
      </c>
      <c r="C130">
        <v>7</v>
      </c>
      <c r="D130" s="15">
        <v>45580</v>
      </c>
      <c r="E130" t="s">
        <v>527</v>
      </c>
      <c r="F130" t="s">
        <v>524</v>
      </c>
      <c r="G130" t="s">
        <v>526</v>
      </c>
      <c r="H130">
        <v>4</v>
      </c>
      <c r="I130">
        <v>1</v>
      </c>
      <c r="J130" t="s">
        <v>119</v>
      </c>
    </row>
    <row r="131" spans="1:10">
      <c r="A131">
        <v>27</v>
      </c>
      <c r="B131" t="s">
        <v>130</v>
      </c>
      <c r="C131">
        <v>8</v>
      </c>
      <c r="D131" s="15">
        <v>45575</v>
      </c>
      <c r="E131" t="s">
        <v>527</v>
      </c>
      <c r="F131" t="s">
        <v>173</v>
      </c>
      <c r="G131" t="s">
        <v>528</v>
      </c>
      <c r="H131">
        <v>0</v>
      </c>
      <c r="I131">
        <v>0</v>
      </c>
      <c r="J131" t="s">
        <v>138</v>
      </c>
    </row>
    <row r="132" spans="1:10">
      <c r="A132">
        <v>27</v>
      </c>
      <c r="B132" t="s">
        <v>130</v>
      </c>
      <c r="C132">
        <v>9</v>
      </c>
      <c r="D132" s="15">
        <v>45545</v>
      </c>
      <c r="E132" t="s">
        <v>527</v>
      </c>
      <c r="F132" t="s">
        <v>173</v>
      </c>
      <c r="G132" t="s">
        <v>526</v>
      </c>
      <c r="H132">
        <v>1</v>
      </c>
      <c r="I132">
        <v>0</v>
      </c>
      <c r="J132" t="s">
        <v>529</v>
      </c>
    </row>
    <row r="133" spans="1:10">
      <c r="A133">
        <v>27</v>
      </c>
      <c r="B133" t="s">
        <v>130</v>
      </c>
      <c r="C133">
        <v>10</v>
      </c>
      <c r="D133" s="15">
        <v>45540</v>
      </c>
      <c r="E133" t="s">
        <v>527</v>
      </c>
      <c r="F133" t="s">
        <v>171</v>
      </c>
      <c r="G133" t="s">
        <v>526</v>
      </c>
      <c r="H133">
        <v>1</v>
      </c>
      <c r="I133">
        <v>0</v>
      </c>
      <c r="J133" t="s">
        <v>410</v>
      </c>
    </row>
    <row r="134" spans="1:10">
      <c r="A134">
        <v>28</v>
      </c>
      <c r="B134" t="s">
        <v>146</v>
      </c>
      <c r="C134">
        <v>1</v>
      </c>
      <c r="D134" s="15">
        <v>45740</v>
      </c>
      <c r="E134" t="s">
        <v>527</v>
      </c>
      <c r="F134" t="s">
        <v>524</v>
      </c>
      <c r="G134" t="s">
        <v>526</v>
      </c>
      <c r="H134">
        <v>3</v>
      </c>
      <c r="I134">
        <v>0</v>
      </c>
      <c r="J134" t="s">
        <v>456</v>
      </c>
    </row>
    <row r="135" spans="1:10">
      <c r="A135">
        <v>28</v>
      </c>
      <c r="B135" t="s">
        <v>146</v>
      </c>
      <c r="C135">
        <v>2</v>
      </c>
      <c r="D135" s="15">
        <v>45737</v>
      </c>
      <c r="E135" t="s">
        <v>527</v>
      </c>
      <c r="F135" t="s">
        <v>524</v>
      </c>
      <c r="G135" t="s">
        <v>526</v>
      </c>
      <c r="H135">
        <v>7</v>
      </c>
      <c r="I135">
        <v>0</v>
      </c>
      <c r="J135" t="s">
        <v>461</v>
      </c>
    </row>
    <row r="136" spans="1:10">
      <c r="A136">
        <v>28</v>
      </c>
      <c r="B136" t="s">
        <v>146</v>
      </c>
      <c r="C136">
        <v>3</v>
      </c>
      <c r="D136" s="15">
        <v>45614</v>
      </c>
      <c r="E136" t="s">
        <v>527</v>
      </c>
      <c r="F136" t="s">
        <v>524</v>
      </c>
      <c r="G136" t="s">
        <v>526</v>
      </c>
      <c r="H136">
        <v>8</v>
      </c>
      <c r="I136">
        <v>0</v>
      </c>
      <c r="J136" t="s">
        <v>493</v>
      </c>
    </row>
    <row r="137" spans="1:10">
      <c r="A137">
        <v>28</v>
      </c>
      <c r="B137" t="s">
        <v>146</v>
      </c>
      <c r="C137">
        <v>4</v>
      </c>
      <c r="D137" s="15">
        <v>45611</v>
      </c>
      <c r="E137" t="s">
        <v>527</v>
      </c>
      <c r="F137" t="s">
        <v>524</v>
      </c>
      <c r="G137" t="s">
        <v>526</v>
      </c>
      <c r="H137">
        <v>8</v>
      </c>
      <c r="I137">
        <v>1</v>
      </c>
      <c r="J137" t="s">
        <v>466</v>
      </c>
    </row>
    <row r="138" spans="1:10">
      <c r="A138">
        <v>28</v>
      </c>
      <c r="B138" t="s">
        <v>146</v>
      </c>
      <c r="C138">
        <v>5</v>
      </c>
      <c r="D138" s="15">
        <v>45576</v>
      </c>
      <c r="E138" t="s">
        <v>527</v>
      </c>
      <c r="F138" t="s">
        <v>524</v>
      </c>
      <c r="G138" t="s">
        <v>526</v>
      </c>
      <c r="H138">
        <v>3</v>
      </c>
      <c r="I138">
        <v>0</v>
      </c>
      <c r="J138" t="s">
        <v>463</v>
      </c>
    </row>
    <row r="139" spans="1:10">
      <c r="A139">
        <v>28</v>
      </c>
      <c r="B139" t="s">
        <v>146</v>
      </c>
      <c r="C139">
        <v>6</v>
      </c>
      <c r="D139" s="15">
        <v>45473</v>
      </c>
      <c r="E139" t="s">
        <v>536</v>
      </c>
      <c r="F139" t="s">
        <v>171</v>
      </c>
      <c r="G139" t="s">
        <v>526</v>
      </c>
      <c r="H139">
        <v>3</v>
      </c>
      <c r="I139">
        <v>0</v>
      </c>
      <c r="J139" t="s">
        <v>466</v>
      </c>
    </row>
    <row r="140" spans="1:10">
      <c r="A140">
        <v>28</v>
      </c>
      <c r="B140" t="s">
        <v>146</v>
      </c>
      <c r="C140">
        <v>7</v>
      </c>
      <c r="D140" s="15">
        <v>45470</v>
      </c>
      <c r="E140" t="s">
        <v>536</v>
      </c>
      <c r="F140" t="s">
        <v>171</v>
      </c>
      <c r="G140" t="s">
        <v>526</v>
      </c>
      <c r="H140">
        <v>5</v>
      </c>
      <c r="I140">
        <v>0</v>
      </c>
      <c r="J140" t="s">
        <v>463</v>
      </c>
    </row>
    <row r="141" spans="1:10">
      <c r="A141">
        <v>28</v>
      </c>
      <c r="B141" t="s">
        <v>146</v>
      </c>
      <c r="C141">
        <v>8</v>
      </c>
      <c r="D141" s="15">
        <v>45464</v>
      </c>
      <c r="E141" t="s">
        <v>536</v>
      </c>
      <c r="F141" t="s">
        <v>173</v>
      </c>
      <c r="G141" t="s">
        <v>526</v>
      </c>
      <c r="H141">
        <v>4</v>
      </c>
      <c r="I141">
        <v>0</v>
      </c>
      <c r="J141" t="s">
        <v>466</v>
      </c>
    </row>
    <row r="142" spans="1:10">
      <c r="A142">
        <v>28</v>
      </c>
      <c r="B142" t="s">
        <v>146</v>
      </c>
      <c r="C142">
        <v>9</v>
      </c>
      <c r="D142" s="15">
        <v>45461</v>
      </c>
      <c r="E142" t="s">
        <v>536</v>
      </c>
      <c r="F142" t="s">
        <v>171</v>
      </c>
      <c r="G142" t="s">
        <v>526</v>
      </c>
      <c r="H142">
        <v>3</v>
      </c>
      <c r="I142">
        <v>0</v>
      </c>
      <c r="J142" t="s">
        <v>458</v>
      </c>
    </row>
    <row r="143" spans="1:10">
      <c r="A143">
        <v>28</v>
      </c>
      <c r="B143" t="s">
        <v>146</v>
      </c>
      <c r="C143">
        <v>10</v>
      </c>
      <c r="D143" s="15">
        <v>44726</v>
      </c>
      <c r="E143" t="s">
        <v>537</v>
      </c>
      <c r="F143" t="s">
        <v>524</v>
      </c>
      <c r="G143" t="s">
        <v>525</v>
      </c>
      <c r="H143">
        <v>0</v>
      </c>
      <c r="I143">
        <v>1</v>
      </c>
      <c r="J143" t="s">
        <v>369</v>
      </c>
    </row>
    <row r="144" spans="1:10">
      <c r="A144">
        <v>29</v>
      </c>
      <c r="B144" t="s">
        <v>128</v>
      </c>
      <c r="C144">
        <v>1</v>
      </c>
      <c r="D144" s="15">
        <v>45979</v>
      </c>
      <c r="E144" t="s">
        <v>527</v>
      </c>
      <c r="F144" t="s">
        <v>171</v>
      </c>
      <c r="G144" t="s">
        <v>528</v>
      </c>
      <c r="H144">
        <v>2</v>
      </c>
      <c r="I144">
        <v>2</v>
      </c>
      <c r="J144" t="s">
        <v>142</v>
      </c>
    </row>
    <row r="145" spans="1:10">
      <c r="A145">
        <v>29</v>
      </c>
      <c r="B145" t="s">
        <v>128</v>
      </c>
      <c r="C145">
        <v>2</v>
      </c>
      <c r="D145" s="15">
        <v>45976</v>
      </c>
      <c r="E145" t="s">
        <v>527</v>
      </c>
      <c r="F145" t="s">
        <v>173</v>
      </c>
      <c r="G145" t="s">
        <v>526</v>
      </c>
      <c r="H145">
        <v>4</v>
      </c>
      <c r="I145">
        <v>0</v>
      </c>
      <c r="J145" t="s">
        <v>382</v>
      </c>
    </row>
    <row r="146" spans="1:10">
      <c r="A146">
        <v>29</v>
      </c>
      <c r="B146" t="s">
        <v>128</v>
      </c>
      <c r="C146">
        <v>3</v>
      </c>
      <c r="D146" s="15">
        <v>45944</v>
      </c>
      <c r="E146" t="s">
        <v>527</v>
      </c>
      <c r="F146" t="s">
        <v>171</v>
      </c>
      <c r="G146" t="s">
        <v>526</v>
      </c>
      <c r="H146">
        <v>4</v>
      </c>
      <c r="I146">
        <v>0</v>
      </c>
      <c r="J146" t="s">
        <v>394</v>
      </c>
    </row>
    <row r="147" spans="1:10">
      <c r="A147">
        <v>29</v>
      </c>
      <c r="B147" t="s">
        <v>128</v>
      </c>
      <c r="C147">
        <v>4</v>
      </c>
      <c r="D147" s="15">
        <v>45941</v>
      </c>
      <c r="E147" t="s">
        <v>527</v>
      </c>
      <c r="F147" t="s">
        <v>171</v>
      </c>
      <c r="G147" t="s">
        <v>526</v>
      </c>
      <c r="H147">
        <v>2</v>
      </c>
      <c r="I147">
        <v>0</v>
      </c>
      <c r="J147" t="s">
        <v>382</v>
      </c>
    </row>
    <row r="148" spans="1:10">
      <c r="A148">
        <v>29</v>
      </c>
      <c r="B148" t="s">
        <v>128</v>
      </c>
      <c r="C148">
        <v>5</v>
      </c>
      <c r="D148" s="15">
        <v>45907</v>
      </c>
      <c r="E148" t="s">
        <v>527</v>
      </c>
      <c r="F148" t="s">
        <v>173</v>
      </c>
      <c r="G148" t="s">
        <v>526</v>
      </c>
      <c r="H148">
        <v>6</v>
      </c>
      <c r="I148">
        <v>0</v>
      </c>
      <c r="J148" t="s">
        <v>142</v>
      </c>
    </row>
    <row r="149" spans="1:10">
      <c r="A149">
        <v>29</v>
      </c>
      <c r="B149" t="s">
        <v>128</v>
      </c>
      <c r="C149">
        <v>6</v>
      </c>
      <c r="D149" s="15">
        <v>45904</v>
      </c>
      <c r="E149" t="s">
        <v>527</v>
      </c>
      <c r="F149" t="s">
        <v>173</v>
      </c>
      <c r="G149" t="s">
        <v>526</v>
      </c>
      <c r="H149">
        <v>3</v>
      </c>
      <c r="I149">
        <v>0</v>
      </c>
      <c r="J149" t="s">
        <v>394</v>
      </c>
    </row>
    <row r="150" spans="1:10">
      <c r="A150">
        <v>30</v>
      </c>
      <c r="B150" t="s">
        <v>157</v>
      </c>
      <c r="C150">
        <v>1</v>
      </c>
      <c r="D150" s="15">
        <v>45943</v>
      </c>
      <c r="E150" t="s">
        <v>527</v>
      </c>
      <c r="F150" t="s">
        <v>171</v>
      </c>
      <c r="G150" t="s">
        <v>526</v>
      </c>
      <c r="H150">
        <v>3</v>
      </c>
      <c r="I150">
        <v>0</v>
      </c>
      <c r="J150" t="s">
        <v>465</v>
      </c>
    </row>
    <row r="151" spans="1:10">
      <c r="A151">
        <v>30</v>
      </c>
      <c r="B151" t="s">
        <v>157</v>
      </c>
      <c r="C151">
        <v>2</v>
      </c>
      <c r="D151" s="15">
        <v>45938</v>
      </c>
      <c r="E151" t="s">
        <v>527</v>
      </c>
      <c r="F151" t="s">
        <v>173</v>
      </c>
      <c r="G151" t="s">
        <v>528</v>
      </c>
      <c r="H151">
        <v>3</v>
      </c>
      <c r="I151">
        <v>3</v>
      </c>
      <c r="J151" t="s">
        <v>417</v>
      </c>
    </row>
    <row r="152" spans="1:10">
      <c r="A152">
        <v>30</v>
      </c>
      <c r="B152" t="s">
        <v>157</v>
      </c>
      <c r="C152">
        <v>3</v>
      </c>
      <c r="D152" s="15">
        <v>45909</v>
      </c>
      <c r="E152" t="s">
        <v>527</v>
      </c>
      <c r="F152" t="s">
        <v>171</v>
      </c>
      <c r="G152" t="s">
        <v>526</v>
      </c>
      <c r="H152">
        <v>1</v>
      </c>
      <c r="I152">
        <v>0</v>
      </c>
      <c r="J152" t="s">
        <v>374</v>
      </c>
    </row>
    <row r="153" spans="1:10">
      <c r="A153">
        <v>30</v>
      </c>
      <c r="B153" t="s">
        <v>157</v>
      </c>
      <c r="C153">
        <v>4</v>
      </c>
      <c r="D153" s="15">
        <v>45904</v>
      </c>
      <c r="E153" t="s">
        <v>527</v>
      </c>
      <c r="F153" t="s">
        <v>173</v>
      </c>
      <c r="G153" t="s">
        <v>526</v>
      </c>
      <c r="H153">
        <v>2</v>
      </c>
      <c r="I153">
        <v>0</v>
      </c>
      <c r="J153" t="s">
        <v>482</v>
      </c>
    </row>
    <row r="154" spans="1:10">
      <c r="A154">
        <v>30</v>
      </c>
      <c r="B154" t="s">
        <v>157</v>
      </c>
      <c r="C154">
        <v>5</v>
      </c>
      <c r="D154" s="15">
        <v>45741</v>
      </c>
      <c r="E154" t="s">
        <v>527</v>
      </c>
      <c r="F154" t="s">
        <v>173</v>
      </c>
      <c r="G154" t="s">
        <v>526</v>
      </c>
      <c r="H154">
        <v>2</v>
      </c>
      <c r="I154">
        <v>1</v>
      </c>
      <c r="J154" t="s">
        <v>395</v>
      </c>
    </row>
    <row r="155" spans="1:10">
      <c r="A155">
        <v>30</v>
      </c>
      <c r="B155" t="s">
        <v>157</v>
      </c>
      <c r="C155">
        <v>6</v>
      </c>
      <c r="D155" s="15">
        <v>45736</v>
      </c>
      <c r="E155" t="s">
        <v>527</v>
      </c>
      <c r="F155" t="s">
        <v>171</v>
      </c>
      <c r="G155" t="s">
        <v>526</v>
      </c>
      <c r="H155">
        <v>1</v>
      </c>
      <c r="I155">
        <v>0</v>
      </c>
      <c r="J155" t="s">
        <v>482</v>
      </c>
    </row>
    <row r="156" spans="1:10">
      <c r="A156">
        <v>30</v>
      </c>
      <c r="B156" t="s">
        <v>157</v>
      </c>
      <c r="C156">
        <v>7</v>
      </c>
      <c r="D156" s="15">
        <v>45454</v>
      </c>
      <c r="E156" t="s">
        <v>527</v>
      </c>
      <c r="F156" t="s">
        <v>171</v>
      </c>
      <c r="G156" t="s">
        <v>526</v>
      </c>
      <c r="H156">
        <v>1</v>
      </c>
      <c r="I156">
        <v>0</v>
      </c>
      <c r="J156" t="s">
        <v>417</v>
      </c>
    </row>
    <row r="157" spans="1:10">
      <c r="A157">
        <v>30</v>
      </c>
      <c r="B157" t="s">
        <v>157</v>
      </c>
      <c r="C157">
        <v>8</v>
      </c>
      <c r="D157" s="15">
        <v>45451</v>
      </c>
      <c r="E157" t="s">
        <v>527</v>
      </c>
      <c r="F157" t="s">
        <v>173</v>
      </c>
      <c r="G157" t="s">
        <v>525</v>
      </c>
      <c r="H157">
        <v>1</v>
      </c>
      <c r="I157">
        <v>4</v>
      </c>
      <c r="J157" t="s">
        <v>374</v>
      </c>
    </row>
    <row r="158" spans="1:10">
      <c r="A158">
        <v>30</v>
      </c>
      <c r="B158" t="s">
        <v>157</v>
      </c>
      <c r="C158">
        <v>9</v>
      </c>
      <c r="D158" s="15">
        <v>45251</v>
      </c>
      <c r="E158" t="s">
        <v>527</v>
      </c>
      <c r="F158" t="s">
        <v>524</v>
      </c>
      <c r="G158" t="s">
        <v>526</v>
      </c>
      <c r="H158">
        <v>2</v>
      </c>
      <c r="I158">
        <v>0</v>
      </c>
      <c r="J158" t="s">
        <v>465</v>
      </c>
    </row>
    <row r="159" spans="1:10">
      <c r="A159">
        <v>30</v>
      </c>
      <c r="B159" t="s">
        <v>157</v>
      </c>
      <c r="C159">
        <v>10</v>
      </c>
      <c r="D159" s="15">
        <v>45246</v>
      </c>
      <c r="E159" t="s">
        <v>527</v>
      </c>
      <c r="F159" t="s">
        <v>171</v>
      </c>
      <c r="G159" t="s">
        <v>528</v>
      </c>
      <c r="H159">
        <v>0</v>
      </c>
      <c r="I159">
        <v>0</v>
      </c>
      <c r="J159" t="s">
        <v>395</v>
      </c>
    </row>
    <row r="160" spans="1:10">
      <c r="A160">
        <v>31</v>
      </c>
      <c r="B160" t="s">
        <v>129</v>
      </c>
      <c r="C160">
        <v>1</v>
      </c>
      <c r="D160" s="15">
        <v>45944</v>
      </c>
      <c r="E160" t="s">
        <v>527</v>
      </c>
      <c r="F160" t="s">
        <v>171</v>
      </c>
      <c r="G160" t="s">
        <v>528</v>
      </c>
      <c r="H160">
        <v>0</v>
      </c>
      <c r="I160">
        <v>0</v>
      </c>
      <c r="J160" t="s">
        <v>132</v>
      </c>
    </row>
    <row r="161" spans="1:10">
      <c r="A161">
        <v>31</v>
      </c>
      <c r="B161" t="s">
        <v>129</v>
      </c>
      <c r="C161">
        <v>2</v>
      </c>
      <c r="D161" s="15">
        <v>45938</v>
      </c>
      <c r="E161" t="s">
        <v>527</v>
      </c>
      <c r="F161" t="s">
        <v>173</v>
      </c>
      <c r="G161" t="s">
        <v>526</v>
      </c>
      <c r="H161">
        <v>3</v>
      </c>
      <c r="I161">
        <v>2</v>
      </c>
      <c r="J161" t="s">
        <v>428</v>
      </c>
    </row>
    <row r="162" spans="1:10">
      <c r="A162">
        <v>31</v>
      </c>
      <c r="B162" t="s">
        <v>129</v>
      </c>
      <c r="C162">
        <v>3</v>
      </c>
      <c r="D162" s="15">
        <v>45818</v>
      </c>
      <c r="E162" t="s">
        <v>527</v>
      </c>
      <c r="F162" t="s">
        <v>171</v>
      </c>
      <c r="G162" t="s">
        <v>525</v>
      </c>
      <c r="H162">
        <v>1</v>
      </c>
      <c r="I162">
        <v>2</v>
      </c>
      <c r="J162" t="s">
        <v>121</v>
      </c>
    </row>
    <row r="163" spans="1:10">
      <c r="A163">
        <v>31</v>
      </c>
      <c r="B163" t="s">
        <v>129</v>
      </c>
      <c r="C163">
        <v>4</v>
      </c>
      <c r="D163" s="15">
        <v>45813</v>
      </c>
      <c r="E163" t="s">
        <v>527</v>
      </c>
      <c r="F163" t="s">
        <v>173</v>
      </c>
      <c r="G163" t="s">
        <v>526</v>
      </c>
      <c r="H163">
        <v>2</v>
      </c>
      <c r="I163">
        <v>0</v>
      </c>
      <c r="J163" t="s">
        <v>396</v>
      </c>
    </row>
    <row r="164" spans="1:10">
      <c r="A164">
        <v>31</v>
      </c>
      <c r="B164" t="s">
        <v>129</v>
      </c>
      <c r="C164">
        <v>5</v>
      </c>
      <c r="D164" s="15">
        <v>45741</v>
      </c>
      <c r="E164" t="s">
        <v>527</v>
      </c>
      <c r="F164" t="s">
        <v>173</v>
      </c>
      <c r="G164" t="s">
        <v>528</v>
      </c>
      <c r="H164">
        <v>0</v>
      </c>
      <c r="I164">
        <v>0</v>
      </c>
      <c r="J164" t="s">
        <v>154</v>
      </c>
    </row>
    <row r="165" spans="1:10">
      <c r="A165">
        <v>31</v>
      </c>
      <c r="B165" t="s">
        <v>129</v>
      </c>
      <c r="C165">
        <v>6</v>
      </c>
      <c r="D165" s="15">
        <v>45736</v>
      </c>
      <c r="E165" t="s">
        <v>527</v>
      </c>
      <c r="F165" t="s">
        <v>171</v>
      </c>
      <c r="G165" t="s">
        <v>526</v>
      </c>
      <c r="H165">
        <v>1</v>
      </c>
      <c r="I165">
        <v>0</v>
      </c>
      <c r="J165" t="s">
        <v>399</v>
      </c>
    </row>
    <row r="166" spans="1:10">
      <c r="A166">
        <v>31</v>
      </c>
      <c r="B166" t="s">
        <v>129</v>
      </c>
      <c r="C166">
        <v>7</v>
      </c>
      <c r="D166" s="15">
        <v>45615</v>
      </c>
      <c r="E166" t="s">
        <v>527</v>
      </c>
      <c r="F166" t="s">
        <v>173</v>
      </c>
      <c r="G166" t="s">
        <v>525</v>
      </c>
      <c r="H166">
        <v>0</v>
      </c>
      <c r="I166">
        <v>2</v>
      </c>
      <c r="J166" t="s">
        <v>428</v>
      </c>
    </row>
    <row r="167" spans="1:10">
      <c r="A167">
        <v>31</v>
      </c>
      <c r="B167" t="s">
        <v>129</v>
      </c>
      <c r="C167">
        <v>8</v>
      </c>
      <c r="D167" s="15">
        <v>45610</v>
      </c>
      <c r="E167" t="s">
        <v>527</v>
      </c>
      <c r="F167" t="s">
        <v>173</v>
      </c>
      <c r="G167" t="s">
        <v>528</v>
      </c>
      <c r="H167">
        <v>0</v>
      </c>
      <c r="I167">
        <v>0</v>
      </c>
      <c r="J167" t="s">
        <v>121</v>
      </c>
    </row>
    <row r="168" spans="1:10">
      <c r="A168">
        <v>31</v>
      </c>
      <c r="B168" t="s">
        <v>129</v>
      </c>
      <c r="C168">
        <v>9</v>
      </c>
      <c r="D168" s="15">
        <v>45580</v>
      </c>
      <c r="E168" t="s">
        <v>527</v>
      </c>
      <c r="F168" t="s">
        <v>171</v>
      </c>
      <c r="G168" t="s">
        <v>528</v>
      </c>
      <c r="H168">
        <v>0</v>
      </c>
      <c r="I168">
        <v>0</v>
      </c>
      <c r="J168" t="s">
        <v>396</v>
      </c>
    </row>
    <row r="169" spans="1:10">
      <c r="A169">
        <v>31</v>
      </c>
      <c r="B169" t="s">
        <v>129</v>
      </c>
      <c r="C169">
        <v>10</v>
      </c>
      <c r="D169" s="15">
        <v>45575</v>
      </c>
      <c r="E169" t="s">
        <v>527</v>
      </c>
      <c r="F169" t="s">
        <v>171</v>
      </c>
      <c r="G169" t="s">
        <v>525</v>
      </c>
      <c r="H169">
        <v>0</v>
      </c>
      <c r="I169">
        <v>2</v>
      </c>
      <c r="J169" t="s">
        <v>154</v>
      </c>
    </row>
    <row r="170" spans="1:10">
      <c r="A170">
        <v>32</v>
      </c>
      <c r="B170" t="s">
        <v>145</v>
      </c>
      <c r="C170">
        <v>1</v>
      </c>
      <c r="D170" s="15">
        <v>45909</v>
      </c>
      <c r="E170" t="s">
        <v>527</v>
      </c>
      <c r="F170" t="s">
        <v>173</v>
      </c>
      <c r="G170" t="s">
        <v>528</v>
      </c>
      <c r="H170">
        <v>0</v>
      </c>
      <c r="I170">
        <v>0</v>
      </c>
      <c r="J170" t="s">
        <v>371</v>
      </c>
    </row>
    <row r="171" spans="1:10">
      <c r="A171">
        <v>32</v>
      </c>
      <c r="B171" t="s">
        <v>145</v>
      </c>
      <c r="C171">
        <v>2</v>
      </c>
      <c r="D171" s="15">
        <v>45904</v>
      </c>
      <c r="E171" t="s">
        <v>527</v>
      </c>
      <c r="F171" t="s">
        <v>171</v>
      </c>
      <c r="G171" t="s">
        <v>526</v>
      </c>
      <c r="H171">
        <v>3</v>
      </c>
      <c r="I171">
        <v>0</v>
      </c>
      <c r="J171" t="s">
        <v>370</v>
      </c>
    </row>
    <row r="172" spans="1:10">
      <c r="A172">
        <v>32</v>
      </c>
      <c r="B172" t="s">
        <v>145</v>
      </c>
      <c r="C172">
        <v>3</v>
      </c>
      <c r="D172" s="15">
        <v>45818</v>
      </c>
      <c r="E172" t="s">
        <v>527</v>
      </c>
      <c r="F172" t="s">
        <v>171</v>
      </c>
      <c r="G172" t="s">
        <v>526</v>
      </c>
      <c r="H172">
        <v>2</v>
      </c>
      <c r="I172">
        <v>0</v>
      </c>
      <c r="J172" t="s">
        <v>368</v>
      </c>
    </row>
    <row r="173" spans="1:10">
      <c r="A173">
        <v>32</v>
      </c>
      <c r="B173" t="s">
        <v>145</v>
      </c>
      <c r="C173">
        <v>4</v>
      </c>
      <c r="D173" s="15">
        <v>45813</v>
      </c>
      <c r="E173" t="s">
        <v>527</v>
      </c>
      <c r="F173" t="s">
        <v>173</v>
      </c>
      <c r="G173" t="s">
        <v>525</v>
      </c>
      <c r="H173">
        <v>0</v>
      </c>
      <c r="I173">
        <v>2</v>
      </c>
      <c r="J173" t="s">
        <v>155</v>
      </c>
    </row>
    <row r="174" spans="1:10">
      <c r="A174">
        <v>32</v>
      </c>
      <c r="B174" t="s">
        <v>145</v>
      </c>
      <c r="C174">
        <v>5</v>
      </c>
      <c r="D174" s="15">
        <v>45741</v>
      </c>
      <c r="E174" t="s">
        <v>527</v>
      </c>
      <c r="F174" t="s">
        <v>173</v>
      </c>
      <c r="G174" t="s">
        <v>528</v>
      </c>
      <c r="H174">
        <v>0</v>
      </c>
      <c r="I174">
        <v>0</v>
      </c>
      <c r="J174" t="s">
        <v>385</v>
      </c>
    </row>
    <row r="175" spans="1:10">
      <c r="A175">
        <v>32</v>
      </c>
      <c r="B175" t="s">
        <v>145</v>
      </c>
      <c r="C175">
        <v>6</v>
      </c>
      <c r="D175" s="15">
        <v>45737</v>
      </c>
      <c r="E175" t="s">
        <v>527</v>
      </c>
      <c r="F175" t="s">
        <v>171</v>
      </c>
      <c r="G175" t="s">
        <v>525</v>
      </c>
      <c r="H175">
        <v>0</v>
      </c>
      <c r="I175">
        <v>1</v>
      </c>
      <c r="J175" t="s">
        <v>133</v>
      </c>
    </row>
    <row r="176" spans="1:10">
      <c r="A176">
        <v>32</v>
      </c>
      <c r="B176" t="s">
        <v>145</v>
      </c>
      <c r="C176">
        <v>7</v>
      </c>
      <c r="D176" s="15">
        <v>45615</v>
      </c>
      <c r="E176" t="s">
        <v>527</v>
      </c>
      <c r="F176" t="s">
        <v>173</v>
      </c>
      <c r="G176" t="s">
        <v>528</v>
      </c>
      <c r="H176">
        <v>1</v>
      </c>
      <c r="I176">
        <v>1</v>
      </c>
      <c r="J176" t="s">
        <v>120</v>
      </c>
    </row>
    <row r="177" spans="1:10">
      <c r="A177">
        <v>32</v>
      </c>
      <c r="B177" t="s">
        <v>145</v>
      </c>
      <c r="C177">
        <v>8</v>
      </c>
      <c r="D177" s="15">
        <v>45611</v>
      </c>
      <c r="E177" t="s">
        <v>527</v>
      </c>
      <c r="F177" t="s">
        <v>171</v>
      </c>
      <c r="G177" t="s">
        <v>526</v>
      </c>
      <c r="H177">
        <v>3</v>
      </c>
      <c r="I177">
        <v>2</v>
      </c>
      <c r="J177" t="s">
        <v>150</v>
      </c>
    </row>
    <row r="178" spans="1:10">
      <c r="A178">
        <v>32</v>
      </c>
      <c r="B178" t="s">
        <v>145</v>
      </c>
      <c r="C178">
        <v>9</v>
      </c>
      <c r="D178" s="15">
        <v>45580</v>
      </c>
      <c r="E178" t="s">
        <v>527</v>
      </c>
      <c r="F178" t="s">
        <v>171</v>
      </c>
      <c r="G178" t="s">
        <v>528</v>
      </c>
      <c r="H178">
        <v>0</v>
      </c>
      <c r="I178">
        <v>0</v>
      </c>
      <c r="J178" t="s">
        <v>143</v>
      </c>
    </row>
    <row r="179" spans="1:10">
      <c r="A179">
        <v>32</v>
      </c>
      <c r="B179" t="s">
        <v>145</v>
      </c>
      <c r="C179">
        <v>10</v>
      </c>
      <c r="D179" s="15">
        <v>45576</v>
      </c>
      <c r="E179" t="s">
        <v>527</v>
      </c>
      <c r="F179" t="s">
        <v>173</v>
      </c>
      <c r="G179" t="s">
        <v>525</v>
      </c>
      <c r="H179">
        <v>0</v>
      </c>
      <c r="I179">
        <v>1</v>
      </c>
      <c r="J179" t="s">
        <v>370</v>
      </c>
    </row>
    <row r="180" spans="1:10">
      <c r="A180">
        <v>33</v>
      </c>
      <c r="B180" t="s">
        <v>131</v>
      </c>
      <c r="C180">
        <v>1</v>
      </c>
      <c r="D180" s="15">
        <v>45977</v>
      </c>
      <c r="E180" t="s">
        <v>527</v>
      </c>
      <c r="F180" t="s">
        <v>173</v>
      </c>
      <c r="G180" t="s">
        <v>526</v>
      </c>
      <c r="H180">
        <v>3</v>
      </c>
      <c r="I180">
        <v>1</v>
      </c>
      <c r="J180" t="s">
        <v>433</v>
      </c>
    </row>
    <row r="181" spans="1:10">
      <c r="A181">
        <v>33</v>
      </c>
      <c r="B181" t="s">
        <v>131</v>
      </c>
      <c r="C181">
        <v>2</v>
      </c>
      <c r="D181" s="15">
        <v>45974</v>
      </c>
      <c r="E181" t="s">
        <v>527</v>
      </c>
      <c r="F181" t="s">
        <v>171</v>
      </c>
      <c r="G181" t="s">
        <v>526</v>
      </c>
      <c r="H181">
        <v>4</v>
      </c>
      <c r="I181">
        <v>0</v>
      </c>
      <c r="J181" t="s">
        <v>358</v>
      </c>
    </row>
    <row r="182" spans="1:10">
      <c r="A182">
        <v>33</v>
      </c>
      <c r="B182" t="s">
        <v>131</v>
      </c>
      <c r="C182">
        <v>3</v>
      </c>
      <c r="D182" s="15">
        <v>45943</v>
      </c>
      <c r="E182" t="s">
        <v>527</v>
      </c>
      <c r="F182" t="s">
        <v>173</v>
      </c>
      <c r="G182" t="s">
        <v>528</v>
      </c>
      <c r="H182">
        <v>2</v>
      </c>
      <c r="I182">
        <v>2</v>
      </c>
      <c r="J182" t="s">
        <v>383</v>
      </c>
    </row>
    <row r="183" spans="1:10">
      <c r="A183">
        <v>33</v>
      </c>
      <c r="B183" t="s">
        <v>131</v>
      </c>
      <c r="C183">
        <v>4</v>
      </c>
      <c r="D183" s="15">
        <v>45940</v>
      </c>
      <c r="E183" t="s">
        <v>527</v>
      </c>
      <c r="F183" t="s">
        <v>171</v>
      </c>
      <c r="G183" t="s">
        <v>526</v>
      </c>
      <c r="H183">
        <v>3</v>
      </c>
      <c r="I183">
        <v>0</v>
      </c>
      <c r="J183" t="s">
        <v>433</v>
      </c>
    </row>
    <row r="184" spans="1:10">
      <c r="A184">
        <v>33</v>
      </c>
      <c r="B184" t="s">
        <v>131</v>
      </c>
      <c r="C184">
        <v>5</v>
      </c>
      <c r="D184" s="15">
        <v>45909</v>
      </c>
      <c r="E184" t="s">
        <v>527</v>
      </c>
      <c r="F184" t="s">
        <v>171</v>
      </c>
      <c r="G184" t="s">
        <v>526</v>
      </c>
      <c r="H184">
        <v>2</v>
      </c>
      <c r="I184">
        <v>1</v>
      </c>
      <c r="J184" t="s">
        <v>383</v>
      </c>
    </row>
    <row r="185" spans="1:10">
      <c r="A185">
        <v>33</v>
      </c>
      <c r="B185" t="s">
        <v>131</v>
      </c>
      <c r="C185">
        <v>6</v>
      </c>
      <c r="D185" s="15">
        <v>45905</v>
      </c>
      <c r="E185" t="s">
        <v>527</v>
      </c>
      <c r="F185" t="s">
        <v>173</v>
      </c>
      <c r="G185" t="s">
        <v>526</v>
      </c>
      <c r="H185">
        <v>2</v>
      </c>
      <c r="I185">
        <v>0</v>
      </c>
      <c r="J185" t="s">
        <v>358</v>
      </c>
    </row>
    <row r="186" spans="1:10">
      <c r="A186">
        <v>34</v>
      </c>
      <c r="B186" t="s">
        <v>156</v>
      </c>
      <c r="C186">
        <v>1</v>
      </c>
      <c r="D186" s="15">
        <v>45944</v>
      </c>
      <c r="E186" t="s">
        <v>527</v>
      </c>
      <c r="F186" t="s">
        <v>171</v>
      </c>
      <c r="G186" t="s">
        <v>526</v>
      </c>
      <c r="H186">
        <v>4</v>
      </c>
      <c r="I186">
        <v>0</v>
      </c>
      <c r="J186" t="s">
        <v>421</v>
      </c>
    </row>
    <row r="187" spans="1:10">
      <c r="A187">
        <v>34</v>
      </c>
      <c r="B187" t="s">
        <v>156</v>
      </c>
      <c r="C187">
        <v>2</v>
      </c>
      <c r="D187" s="15">
        <v>45940</v>
      </c>
      <c r="E187" t="s">
        <v>527</v>
      </c>
      <c r="F187" t="s">
        <v>173</v>
      </c>
      <c r="G187" t="s">
        <v>526</v>
      </c>
      <c r="H187">
        <v>5</v>
      </c>
      <c r="I187">
        <v>0</v>
      </c>
      <c r="J187" t="s">
        <v>474</v>
      </c>
    </row>
    <row r="188" spans="1:10">
      <c r="A188">
        <v>34</v>
      </c>
      <c r="B188" t="s">
        <v>156</v>
      </c>
      <c r="C188">
        <v>3</v>
      </c>
      <c r="D188" s="15">
        <v>45909</v>
      </c>
      <c r="E188" t="s">
        <v>527</v>
      </c>
      <c r="F188" t="s">
        <v>173</v>
      </c>
      <c r="G188" t="s">
        <v>526</v>
      </c>
      <c r="H188">
        <v>3</v>
      </c>
      <c r="I188">
        <v>2</v>
      </c>
      <c r="J188" t="s">
        <v>160</v>
      </c>
    </row>
    <row r="189" spans="1:10">
      <c r="A189">
        <v>34</v>
      </c>
      <c r="B189" t="s">
        <v>156</v>
      </c>
      <c r="C189">
        <v>4</v>
      </c>
      <c r="D189" s="15">
        <v>45905</v>
      </c>
      <c r="E189" t="s">
        <v>527</v>
      </c>
      <c r="F189" t="s">
        <v>171</v>
      </c>
      <c r="G189" t="s">
        <v>526</v>
      </c>
      <c r="H189">
        <v>2</v>
      </c>
      <c r="I189">
        <v>0</v>
      </c>
      <c r="J189" t="s">
        <v>423</v>
      </c>
    </row>
    <row r="190" spans="1:10">
      <c r="A190">
        <v>34</v>
      </c>
      <c r="B190" t="s">
        <v>156</v>
      </c>
      <c r="C190">
        <v>5</v>
      </c>
      <c r="D190" s="15">
        <v>45741</v>
      </c>
      <c r="E190" t="s">
        <v>527</v>
      </c>
      <c r="F190" t="s">
        <v>171</v>
      </c>
      <c r="G190" t="s">
        <v>526</v>
      </c>
      <c r="H190">
        <v>2</v>
      </c>
      <c r="I190">
        <v>0</v>
      </c>
      <c r="J190" t="s">
        <v>430</v>
      </c>
    </row>
    <row r="191" spans="1:10">
      <c r="A191">
        <v>34</v>
      </c>
      <c r="B191" t="s">
        <v>156</v>
      </c>
      <c r="C191">
        <v>6</v>
      </c>
      <c r="D191" s="15">
        <v>45738</v>
      </c>
      <c r="E191" t="s">
        <v>527</v>
      </c>
      <c r="F191" t="s">
        <v>524</v>
      </c>
      <c r="G191" t="s">
        <v>528</v>
      </c>
      <c r="H191">
        <v>0</v>
      </c>
      <c r="I191">
        <v>0</v>
      </c>
      <c r="J191" t="s">
        <v>423</v>
      </c>
    </row>
    <row r="192" spans="1:10">
      <c r="A192">
        <v>34</v>
      </c>
      <c r="B192" t="s">
        <v>156</v>
      </c>
      <c r="C192">
        <v>7</v>
      </c>
      <c r="D192" s="15">
        <v>45452</v>
      </c>
      <c r="E192" t="s">
        <v>527</v>
      </c>
      <c r="F192" t="s">
        <v>173</v>
      </c>
      <c r="G192" t="s">
        <v>526</v>
      </c>
      <c r="H192">
        <v>1</v>
      </c>
      <c r="I192">
        <v>0</v>
      </c>
      <c r="J192" t="s">
        <v>421</v>
      </c>
    </row>
    <row r="193" spans="1:10">
      <c r="A193">
        <v>34</v>
      </c>
      <c r="B193" t="s">
        <v>156</v>
      </c>
      <c r="C193">
        <v>8</v>
      </c>
      <c r="D193" s="15">
        <v>45449</v>
      </c>
      <c r="E193" t="s">
        <v>527</v>
      </c>
      <c r="F193" t="s">
        <v>171</v>
      </c>
      <c r="G193" t="s">
        <v>528</v>
      </c>
      <c r="H193">
        <v>1</v>
      </c>
      <c r="I193">
        <v>1</v>
      </c>
      <c r="J193" t="s">
        <v>160</v>
      </c>
    </row>
    <row r="194" spans="1:10">
      <c r="A194">
        <v>34</v>
      </c>
      <c r="B194" t="s">
        <v>156</v>
      </c>
      <c r="C194">
        <v>9</v>
      </c>
      <c r="D194" s="15">
        <v>45251</v>
      </c>
      <c r="E194" t="s">
        <v>527</v>
      </c>
      <c r="F194" t="s">
        <v>173</v>
      </c>
      <c r="G194" t="s">
        <v>528</v>
      </c>
      <c r="H194">
        <v>0</v>
      </c>
      <c r="I194">
        <v>0</v>
      </c>
      <c r="J194" t="s">
        <v>430</v>
      </c>
    </row>
    <row r="195" spans="1:10">
      <c r="A195">
        <v>34</v>
      </c>
      <c r="B195" t="s">
        <v>156</v>
      </c>
      <c r="C195">
        <v>10</v>
      </c>
      <c r="D195" s="15">
        <v>45248</v>
      </c>
      <c r="E195" t="s">
        <v>527</v>
      </c>
      <c r="F195" t="s">
        <v>171</v>
      </c>
      <c r="G195" t="s">
        <v>526</v>
      </c>
      <c r="H195">
        <v>4</v>
      </c>
      <c r="I195">
        <v>0</v>
      </c>
      <c r="J195" t="s">
        <v>474</v>
      </c>
    </row>
    <row r="196" spans="1:10">
      <c r="A196">
        <v>35</v>
      </c>
      <c r="B196" t="s">
        <v>132</v>
      </c>
      <c r="C196">
        <v>1</v>
      </c>
      <c r="D196" s="15">
        <v>46112</v>
      </c>
      <c r="E196" t="s">
        <v>537</v>
      </c>
      <c r="F196" t="s">
        <v>524</v>
      </c>
      <c r="G196" t="s">
        <v>526</v>
      </c>
      <c r="H196">
        <v>2</v>
      </c>
      <c r="I196">
        <v>1</v>
      </c>
      <c r="J196" t="s">
        <v>385</v>
      </c>
    </row>
    <row r="197" spans="1:10">
      <c r="A197">
        <v>35</v>
      </c>
      <c r="B197" t="s">
        <v>132</v>
      </c>
      <c r="C197">
        <v>2</v>
      </c>
      <c r="D197" s="15">
        <v>45979</v>
      </c>
      <c r="E197" t="s">
        <v>527</v>
      </c>
      <c r="F197" t="s">
        <v>171</v>
      </c>
      <c r="G197" t="s">
        <v>526</v>
      </c>
      <c r="H197">
        <v>2</v>
      </c>
      <c r="I197">
        <v>1</v>
      </c>
      <c r="J197" t="s">
        <v>529</v>
      </c>
    </row>
    <row r="198" spans="1:10">
      <c r="A198">
        <v>35</v>
      </c>
      <c r="B198" t="s">
        <v>132</v>
      </c>
      <c r="C198">
        <v>3</v>
      </c>
      <c r="D198" s="15">
        <v>45974</v>
      </c>
      <c r="E198" t="s">
        <v>527</v>
      </c>
      <c r="F198" t="s">
        <v>173</v>
      </c>
      <c r="G198" t="s">
        <v>528</v>
      </c>
      <c r="H198">
        <v>1</v>
      </c>
      <c r="I198">
        <v>1</v>
      </c>
      <c r="J198" t="s">
        <v>529</v>
      </c>
    </row>
    <row r="199" spans="1:10">
      <c r="A199">
        <v>35</v>
      </c>
      <c r="B199" t="s">
        <v>132</v>
      </c>
      <c r="C199">
        <v>4</v>
      </c>
      <c r="D199" s="15">
        <v>45944</v>
      </c>
      <c r="E199" t="s">
        <v>527</v>
      </c>
      <c r="F199" t="s">
        <v>173</v>
      </c>
      <c r="G199" t="s">
        <v>528</v>
      </c>
      <c r="H199">
        <v>0</v>
      </c>
      <c r="I199">
        <v>0</v>
      </c>
      <c r="J199" t="s">
        <v>129</v>
      </c>
    </row>
    <row r="200" spans="1:10">
      <c r="A200">
        <v>35</v>
      </c>
      <c r="B200" t="s">
        <v>132</v>
      </c>
      <c r="C200">
        <v>5</v>
      </c>
      <c r="D200" s="15">
        <v>45941</v>
      </c>
      <c r="E200" t="s">
        <v>527</v>
      </c>
      <c r="F200" t="s">
        <v>171</v>
      </c>
      <c r="G200" t="s">
        <v>526</v>
      </c>
      <c r="H200">
        <v>1</v>
      </c>
      <c r="I200">
        <v>0</v>
      </c>
      <c r="J200" t="s">
        <v>428</v>
      </c>
    </row>
    <row r="201" spans="1:10">
      <c r="A201">
        <v>35</v>
      </c>
      <c r="B201" t="s">
        <v>132</v>
      </c>
      <c r="C201">
        <v>6</v>
      </c>
      <c r="D201" s="15">
        <v>45818</v>
      </c>
      <c r="E201" t="s">
        <v>527</v>
      </c>
      <c r="F201" t="s">
        <v>173</v>
      </c>
      <c r="G201" t="s">
        <v>526</v>
      </c>
      <c r="H201">
        <v>1</v>
      </c>
      <c r="I201">
        <v>0</v>
      </c>
      <c r="J201" t="s">
        <v>148</v>
      </c>
    </row>
    <row r="202" spans="1:10">
      <c r="A202">
        <v>35</v>
      </c>
      <c r="B202" t="s">
        <v>132</v>
      </c>
      <c r="C202">
        <v>7</v>
      </c>
      <c r="D202" s="15">
        <v>45813</v>
      </c>
      <c r="E202" t="s">
        <v>527</v>
      </c>
      <c r="F202" t="s">
        <v>171</v>
      </c>
      <c r="G202" t="s">
        <v>525</v>
      </c>
      <c r="H202">
        <v>0</v>
      </c>
      <c r="I202">
        <v>2</v>
      </c>
      <c r="J202" t="s">
        <v>116</v>
      </c>
    </row>
    <row r="203" spans="1:10">
      <c r="A203">
        <v>35</v>
      </c>
      <c r="B203" t="s">
        <v>132</v>
      </c>
      <c r="C203">
        <v>8</v>
      </c>
      <c r="D203" s="15">
        <v>45741</v>
      </c>
      <c r="E203" t="s">
        <v>527</v>
      </c>
      <c r="F203" t="s">
        <v>173</v>
      </c>
      <c r="G203" t="s">
        <v>525</v>
      </c>
      <c r="H203">
        <v>1</v>
      </c>
      <c r="I203">
        <v>2</v>
      </c>
      <c r="J203" t="s">
        <v>401</v>
      </c>
    </row>
    <row r="204" spans="1:10">
      <c r="A204">
        <v>35</v>
      </c>
      <c r="B204" t="s">
        <v>132</v>
      </c>
      <c r="C204">
        <v>9</v>
      </c>
      <c r="D204" s="15">
        <v>45736</v>
      </c>
      <c r="E204" t="s">
        <v>527</v>
      </c>
      <c r="F204" t="s">
        <v>171</v>
      </c>
      <c r="G204" t="s">
        <v>528</v>
      </c>
      <c r="H204">
        <v>2</v>
      </c>
      <c r="I204">
        <v>2</v>
      </c>
      <c r="J204" t="s">
        <v>441</v>
      </c>
    </row>
    <row r="205" spans="1:10">
      <c r="A205">
        <v>35</v>
      </c>
      <c r="B205" t="s">
        <v>132</v>
      </c>
      <c r="C205">
        <v>10</v>
      </c>
      <c r="D205" s="15">
        <v>45615</v>
      </c>
      <c r="E205" t="s">
        <v>527</v>
      </c>
      <c r="F205" t="s">
        <v>173</v>
      </c>
      <c r="G205" t="s">
        <v>526</v>
      </c>
      <c r="H205">
        <v>1</v>
      </c>
      <c r="I205">
        <v>0</v>
      </c>
      <c r="J205" t="s">
        <v>388</v>
      </c>
    </row>
    <row r="206" spans="1:10">
      <c r="A206">
        <v>36</v>
      </c>
      <c r="B206" t="s">
        <v>147</v>
      </c>
      <c r="C206">
        <v>1</v>
      </c>
      <c r="D206" s="15">
        <v>45977</v>
      </c>
      <c r="E206" t="s">
        <v>527</v>
      </c>
      <c r="F206" t="s">
        <v>173</v>
      </c>
      <c r="G206" t="s">
        <v>526</v>
      </c>
      <c r="H206">
        <v>4</v>
      </c>
      <c r="I206">
        <v>1</v>
      </c>
      <c r="J206" t="s">
        <v>355</v>
      </c>
    </row>
    <row r="207" spans="1:10">
      <c r="A207">
        <v>36</v>
      </c>
      <c r="B207" t="s">
        <v>147</v>
      </c>
      <c r="C207">
        <v>2</v>
      </c>
      <c r="D207" s="15">
        <v>45974</v>
      </c>
      <c r="E207" t="s">
        <v>527</v>
      </c>
      <c r="F207" t="s">
        <v>171</v>
      </c>
      <c r="G207" t="s">
        <v>526</v>
      </c>
      <c r="H207">
        <v>4</v>
      </c>
      <c r="I207">
        <v>1</v>
      </c>
      <c r="J207" t="s">
        <v>436</v>
      </c>
    </row>
    <row r="208" spans="1:10">
      <c r="A208">
        <v>36</v>
      </c>
      <c r="B208" t="s">
        <v>147</v>
      </c>
      <c r="C208">
        <v>3</v>
      </c>
      <c r="D208" s="15">
        <v>45941</v>
      </c>
      <c r="E208" t="s">
        <v>527</v>
      </c>
      <c r="F208" t="s">
        <v>171</v>
      </c>
      <c r="G208" t="s">
        <v>526</v>
      </c>
      <c r="H208">
        <v>5</v>
      </c>
      <c r="I208">
        <v>0</v>
      </c>
      <c r="J208" t="s">
        <v>386</v>
      </c>
    </row>
    <row r="209" spans="1:10">
      <c r="A209">
        <v>36</v>
      </c>
      <c r="B209" t="s">
        <v>147</v>
      </c>
      <c r="C209">
        <v>4</v>
      </c>
      <c r="D209" s="15">
        <v>45909</v>
      </c>
      <c r="E209" t="s">
        <v>527</v>
      </c>
      <c r="F209" t="s">
        <v>171</v>
      </c>
      <c r="G209" t="s">
        <v>526</v>
      </c>
      <c r="H209">
        <v>11</v>
      </c>
      <c r="I209">
        <v>1</v>
      </c>
      <c r="J209" t="s">
        <v>464</v>
      </c>
    </row>
    <row r="210" spans="1:10">
      <c r="A210">
        <v>36</v>
      </c>
      <c r="B210" t="s">
        <v>147</v>
      </c>
      <c r="C210">
        <v>5</v>
      </c>
      <c r="D210" s="15">
        <v>45817</v>
      </c>
      <c r="E210" t="s">
        <v>527</v>
      </c>
      <c r="F210" t="s">
        <v>173</v>
      </c>
      <c r="G210" t="s">
        <v>526</v>
      </c>
      <c r="H210">
        <v>1</v>
      </c>
      <c r="I210">
        <v>0</v>
      </c>
      <c r="J210" t="s">
        <v>436</v>
      </c>
    </row>
    <row r="211" spans="1:10">
      <c r="A211">
        <v>36</v>
      </c>
      <c r="B211" t="s">
        <v>147</v>
      </c>
      <c r="C211">
        <v>6</v>
      </c>
      <c r="D211" s="15">
        <v>45814</v>
      </c>
      <c r="E211" t="s">
        <v>527</v>
      </c>
      <c r="F211" t="s">
        <v>171</v>
      </c>
      <c r="G211" t="s">
        <v>526</v>
      </c>
      <c r="H211">
        <v>3</v>
      </c>
      <c r="I211">
        <v>0</v>
      </c>
      <c r="J211" t="s">
        <v>355</v>
      </c>
    </row>
    <row r="212" spans="1:10">
      <c r="A212">
        <v>36</v>
      </c>
      <c r="B212" t="s">
        <v>147</v>
      </c>
      <c r="C212">
        <v>7</v>
      </c>
      <c r="D212" s="15">
        <v>45741</v>
      </c>
      <c r="E212" t="s">
        <v>527</v>
      </c>
      <c r="F212" t="s">
        <v>173</v>
      </c>
      <c r="G212" t="s">
        <v>526</v>
      </c>
      <c r="H212">
        <v>4</v>
      </c>
      <c r="I212">
        <v>2</v>
      </c>
      <c r="J212" t="s">
        <v>386</v>
      </c>
    </row>
    <row r="213" spans="1:10">
      <c r="A213">
        <v>36</v>
      </c>
      <c r="B213" t="s">
        <v>147</v>
      </c>
      <c r="C213">
        <v>8</v>
      </c>
      <c r="D213" s="15">
        <v>45738</v>
      </c>
      <c r="E213" t="s">
        <v>527</v>
      </c>
      <c r="F213" t="s">
        <v>173</v>
      </c>
      <c r="G213" t="s">
        <v>526</v>
      </c>
      <c r="H213">
        <v>5</v>
      </c>
      <c r="I213">
        <v>0</v>
      </c>
      <c r="J213" t="s">
        <v>464</v>
      </c>
    </row>
    <row r="214" spans="1:10">
      <c r="A214">
        <v>37</v>
      </c>
      <c r="B214" t="s">
        <v>133</v>
      </c>
      <c r="C214">
        <v>1</v>
      </c>
      <c r="D214" s="15">
        <v>45909</v>
      </c>
      <c r="E214" t="s">
        <v>527</v>
      </c>
      <c r="F214" t="s">
        <v>173</v>
      </c>
      <c r="G214" t="s">
        <v>525</v>
      </c>
      <c r="H214">
        <v>0</v>
      </c>
      <c r="I214">
        <v>1</v>
      </c>
      <c r="J214" t="s">
        <v>143</v>
      </c>
    </row>
    <row r="215" spans="1:10">
      <c r="A215">
        <v>37</v>
      </c>
      <c r="B215" t="s">
        <v>133</v>
      </c>
      <c r="C215">
        <v>2</v>
      </c>
      <c r="D215" s="15">
        <v>45904</v>
      </c>
      <c r="E215" t="s">
        <v>527</v>
      </c>
      <c r="F215" t="s">
        <v>171</v>
      </c>
      <c r="G215" t="s">
        <v>526</v>
      </c>
      <c r="H215">
        <v>3</v>
      </c>
      <c r="I215">
        <v>0</v>
      </c>
      <c r="J215" t="s">
        <v>368</v>
      </c>
    </row>
    <row r="216" spans="1:10">
      <c r="A216">
        <v>37</v>
      </c>
      <c r="B216" t="s">
        <v>133</v>
      </c>
      <c r="C216">
        <v>3</v>
      </c>
      <c r="D216" s="15">
        <v>45818</v>
      </c>
      <c r="E216" t="s">
        <v>527</v>
      </c>
      <c r="F216" t="s">
        <v>171</v>
      </c>
      <c r="G216" t="s">
        <v>528</v>
      </c>
      <c r="H216">
        <v>1</v>
      </c>
      <c r="I216">
        <v>1</v>
      </c>
      <c r="J216" t="s">
        <v>150</v>
      </c>
    </row>
    <row r="217" spans="1:10">
      <c r="A217">
        <v>37</v>
      </c>
      <c r="B217" t="s">
        <v>133</v>
      </c>
      <c r="C217">
        <v>4</v>
      </c>
      <c r="D217" s="15">
        <v>45813</v>
      </c>
      <c r="E217" t="s">
        <v>527</v>
      </c>
      <c r="F217" t="s">
        <v>173</v>
      </c>
      <c r="G217" t="s">
        <v>526</v>
      </c>
      <c r="H217">
        <v>1</v>
      </c>
      <c r="I217">
        <v>0</v>
      </c>
      <c r="J217" t="s">
        <v>371</v>
      </c>
    </row>
    <row r="218" spans="1:10">
      <c r="A218">
        <v>37</v>
      </c>
      <c r="B218" t="s">
        <v>133</v>
      </c>
      <c r="C218">
        <v>5</v>
      </c>
      <c r="D218" s="15">
        <v>45741</v>
      </c>
      <c r="E218" t="s">
        <v>527</v>
      </c>
      <c r="F218" t="s">
        <v>171</v>
      </c>
      <c r="G218" t="s">
        <v>526</v>
      </c>
      <c r="H218">
        <v>4</v>
      </c>
      <c r="I218">
        <v>1</v>
      </c>
      <c r="J218" t="s">
        <v>120</v>
      </c>
    </row>
    <row r="219" spans="1:10">
      <c r="A219">
        <v>37</v>
      </c>
      <c r="B219" t="s">
        <v>133</v>
      </c>
      <c r="C219">
        <v>6</v>
      </c>
      <c r="D219" s="15">
        <v>45737</v>
      </c>
      <c r="E219" t="s">
        <v>527</v>
      </c>
      <c r="F219" t="s">
        <v>173</v>
      </c>
      <c r="G219" t="s">
        <v>526</v>
      </c>
      <c r="H219">
        <v>1</v>
      </c>
      <c r="I219">
        <v>0</v>
      </c>
      <c r="J219" t="s">
        <v>145</v>
      </c>
    </row>
    <row r="220" spans="1:10">
      <c r="A220">
        <v>37</v>
      </c>
      <c r="B220" t="s">
        <v>133</v>
      </c>
      <c r="C220">
        <v>7</v>
      </c>
      <c r="D220" s="15">
        <v>45615</v>
      </c>
      <c r="E220" t="s">
        <v>527</v>
      </c>
      <c r="F220" t="s">
        <v>171</v>
      </c>
      <c r="G220" t="s">
        <v>526</v>
      </c>
      <c r="H220">
        <v>1</v>
      </c>
      <c r="I220">
        <v>0</v>
      </c>
      <c r="J220" t="s">
        <v>370</v>
      </c>
    </row>
    <row r="221" spans="1:10">
      <c r="A221">
        <v>37</v>
      </c>
      <c r="B221" t="s">
        <v>133</v>
      </c>
      <c r="C221">
        <v>8</v>
      </c>
      <c r="D221" s="15">
        <v>45610</v>
      </c>
      <c r="E221" t="s">
        <v>527</v>
      </c>
      <c r="F221" t="s">
        <v>173</v>
      </c>
      <c r="G221" t="s">
        <v>525</v>
      </c>
      <c r="H221">
        <v>1</v>
      </c>
      <c r="I221">
        <v>2</v>
      </c>
      <c r="J221" t="s">
        <v>155</v>
      </c>
    </row>
    <row r="222" spans="1:10">
      <c r="A222">
        <v>37</v>
      </c>
      <c r="B222" t="s">
        <v>133</v>
      </c>
      <c r="C222">
        <v>9</v>
      </c>
      <c r="D222" s="15">
        <v>45580</v>
      </c>
      <c r="E222" t="s">
        <v>527</v>
      </c>
      <c r="F222" t="s">
        <v>171</v>
      </c>
      <c r="G222" t="s">
        <v>526</v>
      </c>
      <c r="H222">
        <v>6</v>
      </c>
      <c r="I222">
        <v>0</v>
      </c>
      <c r="J222" t="s">
        <v>385</v>
      </c>
    </row>
    <row r="223" spans="1:10">
      <c r="A223">
        <v>37</v>
      </c>
      <c r="B223" t="s">
        <v>133</v>
      </c>
      <c r="C223">
        <v>10</v>
      </c>
      <c r="D223" s="15">
        <v>45575</v>
      </c>
      <c r="E223" t="s">
        <v>527</v>
      </c>
      <c r="F223" t="s">
        <v>173</v>
      </c>
      <c r="G223" t="s">
        <v>528</v>
      </c>
      <c r="H223">
        <v>1</v>
      </c>
      <c r="I223">
        <v>1</v>
      </c>
      <c r="J223" t="s">
        <v>368</v>
      </c>
    </row>
    <row r="224" spans="1:10">
      <c r="A224">
        <v>38</v>
      </c>
      <c r="B224" t="s">
        <v>161</v>
      </c>
      <c r="C224">
        <v>1</v>
      </c>
      <c r="D224" s="15">
        <v>45944</v>
      </c>
      <c r="E224" t="s">
        <v>527</v>
      </c>
      <c r="F224" t="s">
        <v>171</v>
      </c>
      <c r="G224" t="s">
        <v>526</v>
      </c>
      <c r="H224">
        <v>2</v>
      </c>
      <c r="I224">
        <v>1</v>
      </c>
      <c r="J224" t="s">
        <v>392</v>
      </c>
    </row>
    <row r="225" spans="1:10">
      <c r="A225">
        <v>38</v>
      </c>
      <c r="B225" t="s">
        <v>161</v>
      </c>
      <c r="C225">
        <v>2</v>
      </c>
      <c r="D225" s="15">
        <v>45939</v>
      </c>
      <c r="E225" t="s">
        <v>527</v>
      </c>
      <c r="F225" t="s">
        <v>524</v>
      </c>
      <c r="G225" t="s">
        <v>526</v>
      </c>
      <c r="H225">
        <v>3</v>
      </c>
      <c r="I225">
        <v>0</v>
      </c>
      <c r="J225" t="s">
        <v>506</v>
      </c>
    </row>
    <row r="226" spans="1:10">
      <c r="A226">
        <v>38</v>
      </c>
      <c r="B226" t="s">
        <v>161</v>
      </c>
      <c r="C226">
        <v>3</v>
      </c>
      <c r="D226" s="15">
        <v>45908</v>
      </c>
      <c r="E226" t="s">
        <v>527</v>
      </c>
      <c r="F226" t="s">
        <v>524</v>
      </c>
      <c r="G226" t="s">
        <v>528</v>
      </c>
      <c r="H226">
        <v>0</v>
      </c>
      <c r="I226">
        <v>0</v>
      </c>
      <c r="J226" t="s">
        <v>390</v>
      </c>
    </row>
    <row r="227" spans="1:10">
      <c r="A227">
        <v>38</v>
      </c>
      <c r="B227" t="s">
        <v>161</v>
      </c>
      <c r="C227">
        <v>4</v>
      </c>
      <c r="D227" s="15">
        <v>45904</v>
      </c>
      <c r="E227" t="s">
        <v>527</v>
      </c>
      <c r="F227" t="s">
        <v>171</v>
      </c>
      <c r="G227" t="s">
        <v>526</v>
      </c>
      <c r="H227">
        <v>3</v>
      </c>
      <c r="I227">
        <v>1</v>
      </c>
      <c r="J227" t="s">
        <v>444</v>
      </c>
    </row>
    <row r="228" spans="1:10">
      <c r="A228">
        <v>38</v>
      </c>
      <c r="B228" t="s">
        <v>161</v>
      </c>
      <c r="C228">
        <v>5</v>
      </c>
      <c r="D228" s="15">
        <v>45741</v>
      </c>
      <c r="E228" t="s">
        <v>527</v>
      </c>
      <c r="F228" t="s">
        <v>171</v>
      </c>
      <c r="G228" t="s">
        <v>526</v>
      </c>
      <c r="H228">
        <v>5</v>
      </c>
      <c r="I228">
        <v>1</v>
      </c>
      <c r="J228" t="s">
        <v>408</v>
      </c>
    </row>
    <row r="229" spans="1:10">
      <c r="A229">
        <v>38</v>
      </c>
      <c r="B229" t="s">
        <v>161</v>
      </c>
      <c r="C229">
        <v>6</v>
      </c>
      <c r="D229" s="15">
        <v>45737</v>
      </c>
      <c r="E229" t="s">
        <v>527</v>
      </c>
      <c r="F229" t="s">
        <v>173</v>
      </c>
      <c r="G229" t="s">
        <v>526</v>
      </c>
      <c r="H229">
        <v>3</v>
      </c>
      <c r="I229">
        <v>1</v>
      </c>
      <c r="J229" t="s">
        <v>444</v>
      </c>
    </row>
    <row r="230" spans="1:10">
      <c r="A230">
        <v>38</v>
      </c>
      <c r="B230" t="s">
        <v>161</v>
      </c>
      <c r="C230">
        <v>7</v>
      </c>
      <c r="D230" s="15">
        <v>45453</v>
      </c>
      <c r="E230" t="s">
        <v>527</v>
      </c>
      <c r="F230" t="s">
        <v>173</v>
      </c>
      <c r="G230" t="s">
        <v>526</v>
      </c>
      <c r="H230">
        <v>2</v>
      </c>
      <c r="I230">
        <v>1</v>
      </c>
      <c r="J230" t="s">
        <v>392</v>
      </c>
    </row>
    <row r="231" spans="1:10">
      <c r="A231">
        <v>38</v>
      </c>
      <c r="B231" t="s">
        <v>161</v>
      </c>
      <c r="C231">
        <v>8</v>
      </c>
      <c r="D231" s="15">
        <v>45449</v>
      </c>
      <c r="E231" t="s">
        <v>527</v>
      </c>
      <c r="F231" t="s">
        <v>171</v>
      </c>
      <c r="G231" t="s">
        <v>525</v>
      </c>
      <c r="H231">
        <v>1</v>
      </c>
      <c r="I231">
        <v>2</v>
      </c>
      <c r="J231" t="s">
        <v>390</v>
      </c>
    </row>
    <row r="232" spans="1:10">
      <c r="A232">
        <v>38</v>
      </c>
      <c r="B232" t="s">
        <v>161</v>
      </c>
      <c r="C232">
        <v>9</v>
      </c>
      <c r="D232" s="15">
        <v>45249</v>
      </c>
      <c r="E232" t="s">
        <v>527</v>
      </c>
      <c r="F232" t="s">
        <v>173</v>
      </c>
      <c r="G232" t="s">
        <v>526</v>
      </c>
      <c r="H232">
        <v>2</v>
      </c>
      <c r="I232">
        <v>0</v>
      </c>
      <c r="J232" t="s">
        <v>408</v>
      </c>
    </row>
    <row r="233" spans="1:10">
      <c r="A233">
        <v>38</v>
      </c>
      <c r="B233" t="s">
        <v>161</v>
      </c>
      <c r="C233">
        <v>10</v>
      </c>
      <c r="D233" s="15">
        <v>45246</v>
      </c>
      <c r="E233" t="s">
        <v>527</v>
      </c>
      <c r="F233" t="s">
        <v>171</v>
      </c>
      <c r="G233" t="s">
        <v>526</v>
      </c>
      <c r="H233">
        <v>3</v>
      </c>
      <c r="I233">
        <v>1</v>
      </c>
      <c r="J233" t="s">
        <v>506</v>
      </c>
    </row>
    <row r="234" spans="1:10">
      <c r="A234">
        <v>39</v>
      </c>
      <c r="B234" t="s">
        <v>134</v>
      </c>
      <c r="C234">
        <v>1</v>
      </c>
      <c r="D234" s="15">
        <v>45979</v>
      </c>
      <c r="E234" t="s">
        <v>527</v>
      </c>
      <c r="F234" t="s">
        <v>171</v>
      </c>
      <c r="G234" t="s">
        <v>528</v>
      </c>
      <c r="H234">
        <v>1</v>
      </c>
      <c r="I234">
        <v>1</v>
      </c>
      <c r="J234" t="s">
        <v>538</v>
      </c>
    </row>
    <row r="235" spans="1:10">
      <c r="A235">
        <v>39</v>
      </c>
      <c r="B235" t="s">
        <v>134</v>
      </c>
      <c r="C235">
        <v>2</v>
      </c>
      <c r="D235" s="15">
        <v>45976</v>
      </c>
      <c r="E235" t="s">
        <v>527</v>
      </c>
      <c r="F235" t="s">
        <v>173</v>
      </c>
      <c r="G235" t="s">
        <v>526</v>
      </c>
      <c r="H235">
        <v>2</v>
      </c>
      <c r="I235">
        <v>0</v>
      </c>
      <c r="J235" t="s">
        <v>434</v>
      </c>
    </row>
    <row r="236" spans="1:10">
      <c r="A236">
        <v>39</v>
      </c>
      <c r="B236" t="s">
        <v>134</v>
      </c>
      <c r="C236">
        <v>3</v>
      </c>
      <c r="D236" s="15">
        <v>45942</v>
      </c>
      <c r="E236" t="s">
        <v>527</v>
      </c>
      <c r="F236" t="s">
        <v>173</v>
      </c>
      <c r="G236" t="s">
        <v>525</v>
      </c>
      <c r="H236">
        <v>0</v>
      </c>
      <c r="I236">
        <v>1</v>
      </c>
      <c r="J236" t="s">
        <v>367</v>
      </c>
    </row>
    <row r="237" spans="1:10">
      <c r="A237">
        <v>39</v>
      </c>
      <c r="B237" t="s">
        <v>134</v>
      </c>
      <c r="C237">
        <v>4</v>
      </c>
      <c r="D237" s="15">
        <v>45939</v>
      </c>
      <c r="E237" t="s">
        <v>527</v>
      </c>
      <c r="F237" t="s">
        <v>171</v>
      </c>
      <c r="G237" t="s">
        <v>526</v>
      </c>
      <c r="H237">
        <v>10</v>
      </c>
      <c r="I237">
        <v>0</v>
      </c>
      <c r="J237" t="s">
        <v>516</v>
      </c>
    </row>
    <row r="238" spans="1:10">
      <c r="A238">
        <v>39</v>
      </c>
      <c r="B238" t="s">
        <v>134</v>
      </c>
      <c r="C238">
        <v>5</v>
      </c>
      <c r="D238" s="15">
        <v>45909</v>
      </c>
      <c r="E238" t="s">
        <v>527</v>
      </c>
      <c r="F238" t="s">
        <v>173</v>
      </c>
      <c r="G238" t="s">
        <v>526</v>
      </c>
      <c r="H238">
        <v>2</v>
      </c>
      <c r="I238">
        <v>1</v>
      </c>
      <c r="J238" t="s">
        <v>538</v>
      </c>
    </row>
    <row r="239" spans="1:10">
      <c r="A239">
        <v>39</v>
      </c>
      <c r="B239" t="s">
        <v>134</v>
      </c>
      <c r="C239">
        <v>6</v>
      </c>
      <c r="D239" s="15">
        <v>45906</v>
      </c>
      <c r="E239" t="s">
        <v>527</v>
      </c>
      <c r="F239" t="s">
        <v>171</v>
      </c>
      <c r="G239" t="s">
        <v>526</v>
      </c>
      <c r="H239">
        <v>1</v>
      </c>
      <c r="I239">
        <v>0</v>
      </c>
      <c r="J239" t="s">
        <v>434</v>
      </c>
    </row>
    <row r="240" spans="1:10">
      <c r="A240">
        <v>39</v>
      </c>
      <c r="B240" t="s">
        <v>134</v>
      </c>
      <c r="C240">
        <v>7</v>
      </c>
      <c r="D240" s="15">
        <v>45818</v>
      </c>
      <c r="E240" t="s">
        <v>527</v>
      </c>
      <c r="F240" t="s">
        <v>173</v>
      </c>
      <c r="G240" t="s">
        <v>526</v>
      </c>
      <c r="H240">
        <v>4</v>
      </c>
      <c r="I240">
        <v>0</v>
      </c>
      <c r="J240" t="s">
        <v>516</v>
      </c>
    </row>
    <row r="241" spans="1:10">
      <c r="A241">
        <v>39</v>
      </c>
      <c r="B241" t="s">
        <v>134</v>
      </c>
      <c r="C241">
        <v>8</v>
      </c>
      <c r="D241" s="15">
        <v>45815</v>
      </c>
      <c r="E241" t="s">
        <v>527</v>
      </c>
      <c r="F241" t="s">
        <v>171</v>
      </c>
      <c r="G241" t="s">
        <v>526</v>
      </c>
      <c r="H241">
        <v>2</v>
      </c>
      <c r="I241">
        <v>1</v>
      </c>
      <c r="J241" t="s">
        <v>367</v>
      </c>
    </row>
    <row r="242" spans="1:10">
      <c r="A242">
        <v>40</v>
      </c>
      <c r="B242" t="s">
        <v>148</v>
      </c>
      <c r="C242">
        <v>1</v>
      </c>
      <c r="D242" s="15">
        <v>45818</v>
      </c>
      <c r="E242" t="s">
        <v>527</v>
      </c>
      <c r="F242" t="s">
        <v>171</v>
      </c>
      <c r="G242" t="s">
        <v>525</v>
      </c>
      <c r="H242">
        <v>0</v>
      </c>
      <c r="I242">
        <v>1</v>
      </c>
      <c r="J242" t="s">
        <v>132</v>
      </c>
    </row>
    <row r="243" spans="1:10">
      <c r="A243">
        <v>40</v>
      </c>
      <c r="B243" t="s">
        <v>148</v>
      </c>
      <c r="C243">
        <v>2</v>
      </c>
      <c r="D243" s="15">
        <v>45813</v>
      </c>
      <c r="E243" t="s">
        <v>527</v>
      </c>
      <c r="F243" t="s">
        <v>173</v>
      </c>
      <c r="G243" t="s">
        <v>526</v>
      </c>
      <c r="H243">
        <v>3</v>
      </c>
      <c r="I243">
        <v>0</v>
      </c>
      <c r="J243" t="s">
        <v>388</v>
      </c>
    </row>
    <row r="244" spans="1:10">
      <c r="A244">
        <v>40</v>
      </c>
      <c r="B244" t="s">
        <v>148</v>
      </c>
      <c r="C244">
        <v>3</v>
      </c>
      <c r="D244" s="15">
        <v>45741</v>
      </c>
      <c r="E244" t="s">
        <v>527</v>
      </c>
      <c r="F244" t="s">
        <v>173</v>
      </c>
      <c r="G244" t="s">
        <v>528</v>
      </c>
      <c r="H244">
        <v>1</v>
      </c>
      <c r="I244">
        <v>1</v>
      </c>
      <c r="J244" t="s">
        <v>116</v>
      </c>
    </row>
    <row r="245" spans="1:10">
      <c r="A245">
        <v>40</v>
      </c>
      <c r="B245" t="s">
        <v>148</v>
      </c>
      <c r="C245">
        <v>4</v>
      </c>
      <c r="D245" s="15">
        <v>45736</v>
      </c>
      <c r="E245" t="s">
        <v>527</v>
      </c>
      <c r="F245" t="s">
        <v>171</v>
      </c>
      <c r="G245" t="s">
        <v>526</v>
      </c>
      <c r="H245">
        <v>3</v>
      </c>
      <c r="I245">
        <v>1</v>
      </c>
      <c r="J245" t="s">
        <v>401</v>
      </c>
    </row>
    <row r="246" spans="1:10">
      <c r="A246">
        <v>40</v>
      </c>
      <c r="B246" t="s">
        <v>148</v>
      </c>
      <c r="C246">
        <v>5</v>
      </c>
      <c r="D246" s="15">
        <v>45615</v>
      </c>
      <c r="E246" t="s">
        <v>527</v>
      </c>
      <c r="F246" t="s">
        <v>173</v>
      </c>
      <c r="G246" t="s">
        <v>528</v>
      </c>
      <c r="H246">
        <v>1</v>
      </c>
      <c r="I246">
        <v>1</v>
      </c>
      <c r="J246" t="s">
        <v>441</v>
      </c>
    </row>
    <row r="247" spans="1:10">
      <c r="A247">
        <v>40</v>
      </c>
      <c r="B247" t="s">
        <v>148</v>
      </c>
      <c r="C247">
        <v>6</v>
      </c>
      <c r="D247" s="15">
        <v>45610</v>
      </c>
      <c r="E247" t="s">
        <v>527</v>
      </c>
      <c r="F247" t="s">
        <v>173</v>
      </c>
      <c r="G247" t="s">
        <v>528</v>
      </c>
      <c r="H247">
        <v>0</v>
      </c>
      <c r="I247">
        <v>0</v>
      </c>
      <c r="J247" t="s">
        <v>132</v>
      </c>
    </row>
    <row r="248" spans="1:10">
      <c r="A248">
        <v>40</v>
      </c>
      <c r="B248" t="s">
        <v>148</v>
      </c>
      <c r="C248">
        <v>7</v>
      </c>
      <c r="D248" s="15">
        <v>45580</v>
      </c>
      <c r="E248" t="s">
        <v>527</v>
      </c>
      <c r="F248" t="s">
        <v>171</v>
      </c>
      <c r="G248" t="s">
        <v>526</v>
      </c>
      <c r="H248">
        <v>4</v>
      </c>
      <c r="I248">
        <v>0</v>
      </c>
      <c r="J248" t="s">
        <v>388</v>
      </c>
    </row>
    <row r="249" spans="1:10">
      <c r="A249">
        <v>40</v>
      </c>
      <c r="B249" t="s">
        <v>148</v>
      </c>
      <c r="C249">
        <v>8</v>
      </c>
      <c r="D249" s="15">
        <v>45575</v>
      </c>
      <c r="E249" t="s">
        <v>527</v>
      </c>
      <c r="F249" t="s">
        <v>171</v>
      </c>
      <c r="G249" t="s">
        <v>525</v>
      </c>
      <c r="H249">
        <v>0</v>
      </c>
      <c r="I249">
        <v>2</v>
      </c>
      <c r="J249" t="s">
        <v>116</v>
      </c>
    </row>
    <row r="250" spans="1:10">
      <c r="A250">
        <v>40</v>
      </c>
      <c r="B250" t="s">
        <v>148</v>
      </c>
      <c r="C250">
        <v>9</v>
      </c>
      <c r="D250" s="15">
        <v>45545</v>
      </c>
      <c r="E250" t="s">
        <v>527</v>
      </c>
      <c r="F250" t="s">
        <v>524</v>
      </c>
      <c r="G250" t="s">
        <v>526</v>
      </c>
      <c r="H250">
        <v>3</v>
      </c>
      <c r="I250">
        <v>1</v>
      </c>
      <c r="J250" t="s">
        <v>401</v>
      </c>
    </row>
    <row r="251" spans="1:10">
      <c r="A251">
        <v>40</v>
      </c>
      <c r="B251" t="s">
        <v>148</v>
      </c>
      <c r="C251">
        <v>10</v>
      </c>
      <c r="D251" s="15">
        <v>45540</v>
      </c>
      <c r="E251" t="s">
        <v>527</v>
      </c>
      <c r="F251" t="s">
        <v>171</v>
      </c>
      <c r="G251" t="s">
        <v>528</v>
      </c>
      <c r="H251">
        <v>1</v>
      </c>
      <c r="I251">
        <v>1</v>
      </c>
      <c r="J251" t="s">
        <v>441</v>
      </c>
    </row>
    <row r="252" spans="1:10">
      <c r="A252">
        <v>41</v>
      </c>
      <c r="B252" t="s">
        <v>135</v>
      </c>
      <c r="C252">
        <v>1</v>
      </c>
      <c r="D252" s="15">
        <v>45977</v>
      </c>
      <c r="E252" t="s">
        <v>527</v>
      </c>
      <c r="F252" t="s">
        <v>171</v>
      </c>
      <c r="G252" t="s">
        <v>526</v>
      </c>
      <c r="H252">
        <v>9</v>
      </c>
      <c r="I252">
        <v>1</v>
      </c>
      <c r="J252" t="s">
        <v>412</v>
      </c>
    </row>
    <row r="253" spans="1:10">
      <c r="A253">
        <v>41</v>
      </c>
      <c r="B253" t="s">
        <v>135</v>
      </c>
      <c r="C253">
        <v>2</v>
      </c>
      <c r="D253" s="15">
        <v>45974</v>
      </c>
      <c r="E253" t="s">
        <v>527</v>
      </c>
      <c r="F253" t="s">
        <v>173</v>
      </c>
      <c r="G253" t="s">
        <v>525</v>
      </c>
      <c r="H253">
        <v>0</v>
      </c>
      <c r="I253">
        <v>2</v>
      </c>
      <c r="J253" t="s">
        <v>539</v>
      </c>
    </row>
    <row r="254" spans="1:10">
      <c r="A254">
        <v>41</v>
      </c>
      <c r="B254" t="s">
        <v>135</v>
      </c>
      <c r="C254">
        <v>3</v>
      </c>
      <c r="D254" s="15">
        <v>45944</v>
      </c>
      <c r="E254" t="s">
        <v>527</v>
      </c>
      <c r="F254" t="s">
        <v>171</v>
      </c>
      <c r="G254" t="s">
        <v>528</v>
      </c>
      <c r="H254">
        <v>2</v>
      </c>
      <c r="I254">
        <v>2</v>
      </c>
      <c r="J254" t="s">
        <v>364</v>
      </c>
    </row>
    <row r="255" spans="1:10">
      <c r="A255">
        <v>41</v>
      </c>
      <c r="B255" t="s">
        <v>135</v>
      </c>
      <c r="C255">
        <v>4</v>
      </c>
      <c r="D255" s="15">
        <v>45941</v>
      </c>
      <c r="E255" t="s">
        <v>527</v>
      </c>
      <c r="F255" t="s">
        <v>171</v>
      </c>
      <c r="G255" t="s">
        <v>526</v>
      </c>
      <c r="H255">
        <v>1</v>
      </c>
      <c r="I255">
        <v>0</v>
      </c>
      <c r="J255" t="s">
        <v>539</v>
      </c>
    </row>
    <row r="256" spans="1:10">
      <c r="A256">
        <v>41</v>
      </c>
      <c r="B256" t="s">
        <v>135</v>
      </c>
      <c r="C256">
        <v>5</v>
      </c>
      <c r="D256" s="15">
        <v>45909</v>
      </c>
      <c r="E256" t="s">
        <v>527</v>
      </c>
      <c r="F256" t="s">
        <v>173</v>
      </c>
      <c r="G256" t="s">
        <v>526</v>
      </c>
      <c r="H256">
        <v>3</v>
      </c>
      <c r="I256">
        <v>2</v>
      </c>
      <c r="J256" t="s">
        <v>364</v>
      </c>
    </row>
    <row r="257" spans="1:10">
      <c r="A257">
        <v>41</v>
      </c>
      <c r="B257" t="s">
        <v>135</v>
      </c>
      <c r="C257">
        <v>6</v>
      </c>
      <c r="D257" s="15">
        <v>45906</v>
      </c>
      <c r="E257" t="s">
        <v>527</v>
      </c>
      <c r="F257" t="s">
        <v>173</v>
      </c>
      <c r="G257" t="s">
        <v>526</v>
      </c>
      <c r="H257">
        <v>5</v>
      </c>
      <c r="I257">
        <v>0</v>
      </c>
      <c r="J257" t="s">
        <v>412</v>
      </c>
    </row>
    <row r="258" spans="1:10">
      <c r="A258">
        <v>42</v>
      </c>
      <c r="B258" t="s">
        <v>160</v>
      </c>
      <c r="C258">
        <v>1</v>
      </c>
      <c r="D258" s="15">
        <v>46112</v>
      </c>
      <c r="E258" t="s">
        <v>537</v>
      </c>
      <c r="F258" t="s">
        <v>524</v>
      </c>
      <c r="G258" t="s">
        <v>526</v>
      </c>
      <c r="H258">
        <v>1</v>
      </c>
      <c r="I258">
        <v>0</v>
      </c>
      <c r="J258" t="s">
        <v>381</v>
      </c>
    </row>
    <row r="259" spans="1:10">
      <c r="A259">
        <v>42</v>
      </c>
      <c r="B259" t="s">
        <v>160</v>
      </c>
      <c r="C259">
        <v>2</v>
      </c>
      <c r="D259" s="15">
        <v>45974</v>
      </c>
      <c r="E259" t="s">
        <v>527</v>
      </c>
      <c r="F259" t="s">
        <v>524</v>
      </c>
      <c r="G259" t="s">
        <v>526</v>
      </c>
      <c r="H259">
        <v>1</v>
      </c>
      <c r="I259">
        <v>0</v>
      </c>
      <c r="J259" t="s">
        <v>374</v>
      </c>
    </row>
    <row r="260" spans="1:10">
      <c r="A260">
        <v>42</v>
      </c>
      <c r="B260" t="s">
        <v>160</v>
      </c>
      <c r="C260">
        <v>3</v>
      </c>
      <c r="D260" s="15">
        <v>45944</v>
      </c>
      <c r="E260" t="s">
        <v>527</v>
      </c>
      <c r="F260" t="s">
        <v>171</v>
      </c>
      <c r="G260" t="s">
        <v>526</v>
      </c>
      <c r="H260">
        <v>1</v>
      </c>
      <c r="I260">
        <v>0</v>
      </c>
      <c r="J260" t="s">
        <v>423</v>
      </c>
    </row>
    <row r="261" spans="1:10">
      <c r="A261">
        <v>42</v>
      </c>
      <c r="B261" t="s">
        <v>160</v>
      </c>
      <c r="C261">
        <v>4</v>
      </c>
      <c r="D261" s="15">
        <v>45940</v>
      </c>
      <c r="E261" t="s">
        <v>527</v>
      </c>
      <c r="F261" t="s">
        <v>173</v>
      </c>
      <c r="G261" t="s">
        <v>526</v>
      </c>
      <c r="H261">
        <v>1</v>
      </c>
      <c r="I261">
        <v>0</v>
      </c>
      <c r="J261" t="s">
        <v>430</v>
      </c>
    </row>
    <row r="262" spans="1:10">
      <c r="A262">
        <v>42</v>
      </c>
      <c r="B262" t="s">
        <v>160</v>
      </c>
      <c r="C262">
        <v>5</v>
      </c>
      <c r="D262" s="15">
        <v>45909</v>
      </c>
      <c r="E262" t="s">
        <v>527</v>
      </c>
      <c r="F262" t="s">
        <v>171</v>
      </c>
      <c r="G262" t="s">
        <v>525</v>
      </c>
      <c r="H262">
        <v>2</v>
      </c>
      <c r="I262">
        <v>3</v>
      </c>
      <c r="J262" t="s">
        <v>156</v>
      </c>
    </row>
    <row r="263" spans="1:10">
      <c r="A263">
        <v>42</v>
      </c>
      <c r="B263" t="s">
        <v>160</v>
      </c>
      <c r="C263">
        <v>6</v>
      </c>
      <c r="D263" s="15">
        <v>45905</v>
      </c>
      <c r="E263" t="s">
        <v>527</v>
      </c>
      <c r="F263" t="s">
        <v>173</v>
      </c>
      <c r="G263" t="s">
        <v>526</v>
      </c>
      <c r="H263">
        <v>4</v>
      </c>
      <c r="I263">
        <v>1</v>
      </c>
      <c r="J263" t="s">
        <v>474</v>
      </c>
    </row>
    <row r="264" spans="1:10">
      <c r="A264">
        <v>42</v>
      </c>
      <c r="B264" t="s">
        <v>160</v>
      </c>
      <c r="C264">
        <v>7</v>
      </c>
      <c r="D264" s="15">
        <v>45741</v>
      </c>
      <c r="E264" t="s">
        <v>527</v>
      </c>
      <c r="F264" t="s">
        <v>173</v>
      </c>
      <c r="G264" t="s">
        <v>526</v>
      </c>
      <c r="H264">
        <v>2</v>
      </c>
      <c r="I264">
        <v>0</v>
      </c>
      <c r="J264" t="s">
        <v>421</v>
      </c>
    </row>
    <row r="265" spans="1:10">
      <c r="A265">
        <v>42</v>
      </c>
      <c r="B265" t="s">
        <v>160</v>
      </c>
      <c r="C265">
        <v>8</v>
      </c>
      <c r="D265" s="15">
        <v>45737</v>
      </c>
      <c r="E265" t="s">
        <v>527</v>
      </c>
      <c r="F265" t="s">
        <v>171</v>
      </c>
      <c r="G265" t="s">
        <v>526</v>
      </c>
      <c r="H265">
        <v>1</v>
      </c>
      <c r="I265">
        <v>0</v>
      </c>
      <c r="J265" t="s">
        <v>474</v>
      </c>
    </row>
    <row r="266" spans="1:10">
      <c r="A266">
        <v>42</v>
      </c>
      <c r="B266" t="s">
        <v>160</v>
      </c>
      <c r="C266">
        <v>9</v>
      </c>
      <c r="D266" s="15">
        <v>45452</v>
      </c>
      <c r="E266" t="s">
        <v>527</v>
      </c>
      <c r="F266" t="s">
        <v>171</v>
      </c>
      <c r="G266" t="s">
        <v>526</v>
      </c>
      <c r="H266">
        <v>1</v>
      </c>
      <c r="I266">
        <v>0</v>
      </c>
      <c r="J266" t="s">
        <v>430</v>
      </c>
    </row>
    <row r="267" spans="1:10">
      <c r="A267">
        <v>42</v>
      </c>
      <c r="B267" t="s">
        <v>160</v>
      </c>
      <c r="C267">
        <v>10</v>
      </c>
      <c r="D267" s="15">
        <v>45449</v>
      </c>
      <c r="E267" t="s">
        <v>527</v>
      </c>
      <c r="F267" t="s">
        <v>173</v>
      </c>
      <c r="G267" t="s">
        <v>528</v>
      </c>
      <c r="H267">
        <v>1</v>
      </c>
      <c r="I267">
        <v>1</v>
      </c>
      <c r="J267" t="s">
        <v>156</v>
      </c>
    </row>
    <row r="268" spans="1:10">
      <c r="A268">
        <v>43</v>
      </c>
      <c r="B268" t="s">
        <v>138</v>
      </c>
      <c r="C268">
        <v>1</v>
      </c>
      <c r="D268" s="15">
        <v>45818</v>
      </c>
      <c r="E268" t="s">
        <v>527</v>
      </c>
      <c r="F268" t="s">
        <v>171</v>
      </c>
      <c r="G268" t="s">
        <v>526</v>
      </c>
      <c r="H268">
        <v>3</v>
      </c>
      <c r="I268">
        <v>0</v>
      </c>
      <c r="J268" t="s">
        <v>119</v>
      </c>
    </row>
    <row r="269" spans="1:10">
      <c r="A269">
        <v>43</v>
      </c>
      <c r="B269" t="s">
        <v>138</v>
      </c>
      <c r="C269">
        <v>2</v>
      </c>
      <c r="D269" s="15">
        <v>45813</v>
      </c>
      <c r="E269" t="s">
        <v>527</v>
      </c>
      <c r="F269" t="s">
        <v>173</v>
      </c>
      <c r="G269" t="s">
        <v>528</v>
      </c>
      <c r="H269">
        <v>0</v>
      </c>
      <c r="I269">
        <v>0</v>
      </c>
      <c r="J269" t="s">
        <v>529</v>
      </c>
    </row>
    <row r="270" spans="1:10">
      <c r="A270">
        <v>43</v>
      </c>
      <c r="B270" t="s">
        <v>138</v>
      </c>
      <c r="C270">
        <v>3</v>
      </c>
      <c r="D270" s="15">
        <v>45741</v>
      </c>
      <c r="E270" t="s">
        <v>527</v>
      </c>
      <c r="F270" t="s">
        <v>173</v>
      </c>
      <c r="G270" t="s">
        <v>528</v>
      </c>
      <c r="H270">
        <v>2</v>
      </c>
      <c r="I270">
        <v>2</v>
      </c>
      <c r="J270" t="s">
        <v>130</v>
      </c>
    </row>
    <row r="271" spans="1:10">
      <c r="A271">
        <v>43</v>
      </c>
      <c r="B271" t="s">
        <v>138</v>
      </c>
      <c r="C271">
        <v>4</v>
      </c>
      <c r="D271" s="15">
        <v>45736</v>
      </c>
      <c r="E271" t="s">
        <v>527</v>
      </c>
      <c r="F271" t="s">
        <v>171</v>
      </c>
      <c r="G271" t="s">
        <v>526</v>
      </c>
      <c r="H271">
        <v>1</v>
      </c>
      <c r="I271">
        <v>0</v>
      </c>
      <c r="J271" t="s">
        <v>410</v>
      </c>
    </row>
    <row r="272" spans="1:10">
      <c r="A272">
        <v>43</v>
      </c>
      <c r="B272" t="s">
        <v>138</v>
      </c>
      <c r="C272">
        <v>5</v>
      </c>
      <c r="D272" s="15">
        <v>45615</v>
      </c>
      <c r="E272" t="s">
        <v>527</v>
      </c>
      <c r="F272" t="s">
        <v>524</v>
      </c>
      <c r="G272" t="s">
        <v>526</v>
      </c>
      <c r="H272">
        <v>1</v>
      </c>
      <c r="I272">
        <v>0</v>
      </c>
      <c r="J272" t="s">
        <v>425</v>
      </c>
    </row>
    <row r="273" spans="1:10">
      <c r="A273">
        <v>43</v>
      </c>
      <c r="B273" t="s">
        <v>138</v>
      </c>
      <c r="C273">
        <v>6</v>
      </c>
      <c r="D273" s="15">
        <v>45610</v>
      </c>
      <c r="E273" t="s">
        <v>527</v>
      </c>
      <c r="F273" t="s">
        <v>173</v>
      </c>
      <c r="G273" t="s">
        <v>525</v>
      </c>
      <c r="H273">
        <v>2</v>
      </c>
      <c r="I273">
        <v>3</v>
      </c>
      <c r="J273" t="s">
        <v>119</v>
      </c>
    </row>
    <row r="274" spans="1:10">
      <c r="A274">
        <v>43</v>
      </c>
      <c r="B274" t="s">
        <v>138</v>
      </c>
      <c r="C274">
        <v>7</v>
      </c>
      <c r="D274" s="15">
        <v>45580</v>
      </c>
      <c r="E274" t="s">
        <v>527</v>
      </c>
      <c r="F274" t="s">
        <v>171</v>
      </c>
      <c r="G274" t="s">
        <v>526</v>
      </c>
      <c r="H274">
        <v>1</v>
      </c>
      <c r="I274">
        <v>0</v>
      </c>
      <c r="J274" t="s">
        <v>529</v>
      </c>
    </row>
    <row r="275" spans="1:10">
      <c r="A275">
        <v>43</v>
      </c>
      <c r="B275" t="s">
        <v>138</v>
      </c>
      <c r="C275">
        <v>8</v>
      </c>
      <c r="D275" s="15">
        <v>45575</v>
      </c>
      <c r="E275" t="s">
        <v>527</v>
      </c>
      <c r="F275" t="s">
        <v>171</v>
      </c>
      <c r="G275" t="s">
        <v>528</v>
      </c>
      <c r="H275">
        <v>0</v>
      </c>
      <c r="I275">
        <v>0</v>
      </c>
      <c r="J275" t="s">
        <v>130</v>
      </c>
    </row>
    <row r="276" spans="1:10">
      <c r="A276">
        <v>43</v>
      </c>
      <c r="B276" t="s">
        <v>138</v>
      </c>
      <c r="C276">
        <v>9</v>
      </c>
      <c r="D276" s="15">
        <v>45545</v>
      </c>
      <c r="E276" t="s">
        <v>527</v>
      </c>
      <c r="F276" t="s">
        <v>173</v>
      </c>
      <c r="G276" t="s">
        <v>526</v>
      </c>
      <c r="H276">
        <v>3</v>
      </c>
      <c r="I276">
        <v>2</v>
      </c>
      <c r="J276" t="s">
        <v>410</v>
      </c>
    </row>
    <row r="277" spans="1:10">
      <c r="A277">
        <v>43</v>
      </c>
      <c r="B277" t="s">
        <v>138</v>
      </c>
      <c r="C277">
        <v>10</v>
      </c>
      <c r="D277" s="15">
        <v>45540</v>
      </c>
      <c r="E277" t="s">
        <v>527</v>
      </c>
      <c r="F277" t="s">
        <v>171</v>
      </c>
      <c r="G277" t="s">
        <v>526</v>
      </c>
      <c r="H277">
        <v>1</v>
      </c>
      <c r="I277">
        <v>0</v>
      </c>
      <c r="J277" t="s">
        <v>425</v>
      </c>
    </row>
    <row r="278" spans="1:10">
      <c r="A278">
        <v>44</v>
      </c>
      <c r="B278" t="s">
        <v>150</v>
      </c>
      <c r="C278">
        <v>1</v>
      </c>
      <c r="D278" s="15">
        <v>45909</v>
      </c>
      <c r="E278" t="s">
        <v>527</v>
      </c>
      <c r="F278" t="s">
        <v>173</v>
      </c>
      <c r="G278" t="s">
        <v>526</v>
      </c>
      <c r="H278">
        <v>6</v>
      </c>
      <c r="I278">
        <v>3</v>
      </c>
      <c r="J278" t="s">
        <v>368</v>
      </c>
    </row>
    <row r="279" spans="1:10">
      <c r="A279">
        <v>44</v>
      </c>
      <c r="B279" t="s">
        <v>150</v>
      </c>
      <c r="C279">
        <v>2</v>
      </c>
      <c r="D279" s="15">
        <v>45904</v>
      </c>
      <c r="E279" t="s">
        <v>527</v>
      </c>
      <c r="F279" t="s">
        <v>171</v>
      </c>
      <c r="G279" t="s">
        <v>526</v>
      </c>
      <c r="H279">
        <v>3</v>
      </c>
      <c r="I279">
        <v>0</v>
      </c>
      <c r="J279" t="s">
        <v>385</v>
      </c>
    </row>
    <row r="280" spans="1:10">
      <c r="A280">
        <v>44</v>
      </c>
      <c r="B280" t="s">
        <v>150</v>
      </c>
      <c r="C280">
        <v>3</v>
      </c>
      <c r="D280" s="15">
        <v>45818</v>
      </c>
      <c r="E280" t="s">
        <v>527</v>
      </c>
      <c r="F280" t="s">
        <v>173</v>
      </c>
      <c r="G280" t="s">
        <v>528</v>
      </c>
      <c r="H280">
        <v>1</v>
      </c>
      <c r="I280">
        <v>1</v>
      </c>
      <c r="J280" t="s">
        <v>133</v>
      </c>
    </row>
    <row r="281" spans="1:10">
      <c r="A281">
        <v>44</v>
      </c>
      <c r="B281" t="s">
        <v>150</v>
      </c>
      <c r="C281">
        <v>4</v>
      </c>
      <c r="D281" s="15">
        <v>45814</v>
      </c>
      <c r="E281" t="s">
        <v>527</v>
      </c>
      <c r="F281" t="s">
        <v>171</v>
      </c>
      <c r="G281" t="s">
        <v>528</v>
      </c>
      <c r="H281">
        <v>0</v>
      </c>
      <c r="I281">
        <v>0</v>
      </c>
      <c r="J281" t="s">
        <v>370</v>
      </c>
    </row>
    <row r="282" spans="1:10">
      <c r="A282">
        <v>44</v>
      </c>
      <c r="B282" t="s">
        <v>150</v>
      </c>
      <c r="C282">
        <v>5</v>
      </c>
      <c r="D282" s="15">
        <v>45741</v>
      </c>
      <c r="E282" t="s">
        <v>527</v>
      </c>
      <c r="F282" t="s">
        <v>171</v>
      </c>
      <c r="G282" t="s">
        <v>528</v>
      </c>
      <c r="H282">
        <v>2</v>
      </c>
      <c r="I282">
        <v>2</v>
      </c>
      <c r="J282" t="s">
        <v>155</v>
      </c>
    </row>
    <row r="283" spans="1:10">
      <c r="A283">
        <v>44</v>
      </c>
      <c r="B283" t="s">
        <v>150</v>
      </c>
      <c r="C283">
        <v>6</v>
      </c>
      <c r="D283" s="15">
        <v>45736</v>
      </c>
      <c r="E283" t="s">
        <v>527</v>
      </c>
      <c r="F283" t="s">
        <v>173</v>
      </c>
      <c r="G283" t="s">
        <v>525</v>
      </c>
      <c r="H283">
        <v>1</v>
      </c>
      <c r="I283">
        <v>2</v>
      </c>
      <c r="J283" t="s">
        <v>120</v>
      </c>
    </row>
    <row r="284" spans="1:10">
      <c r="A284">
        <v>44</v>
      </c>
      <c r="B284" t="s">
        <v>150</v>
      </c>
      <c r="C284">
        <v>7</v>
      </c>
      <c r="D284" s="15">
        <v>45615</v>
      </c>
      <c r="E284" t="s">
        <v>527</v>
      </c>
      <c r="F284" t="s">
        <v>171</v>
      </c>
      <c r="G284" t="s">
        <v>525</v>
      </c>
      <c r="H284">
        <v>0</v>
      </c>
      <c r="I284">
        <v>1</v>
      </c>
      <c r="J284" t="s">
        <v>143</v>
      </c>
    </row>
    <row r="285" spans="1:10">
      <c r="A285">
        <v>44</v>
      </c>
      <c r="B285" t="s">
        <v>150</v>
      </c>
      <c r="C285">
        <v>8</v>
      </c>
      <c r="D285" s="15">
        <v>45611</v>
      </c>
      <c r="E285" t="s">
        <v>527</v>
      </c>
      <c r="F285" t="s">
        <v>173</v>
      </c>
      <c r="G285" t="s">
        <v>525</v>
      </c>
      <c r="H285">
        <v>2</v>
      </c>
      <c r="I285">
        <v>3</v>
      </c>
      <c r="J285" t="s">
        <v>145</v>
      </c>
    </row>
    <row r="286" spans="1:10">
      <c r="A286">
        <v>44</v>
      </c>
      <c r="B286" t="s">
        <v>150</v>
      </c>
      <c r="C286">
        <v>9</v>
      </c>
      <c r="D286" s="15">
        <v>45580</v>
      </c>
      <c r="E286" t="s">
        <v>527</v>
      </c>
      <c r="F286" t="s">
        <v>171</v>
      </c>
      <c r="G286" t="s">
        <v>526</v>
      </c>
      <c r="H286">
        <v>4</v>
      </c>
      <c r="I286">
        <v>0</v>
      </c>
      <c r="J286" t="s">
        <v>371</v>
      </c>
    </row>
    <row r="287" spans="1:10">
      <c r="A287">
        <v>44</v>
      </c>
      <c r="B287" t="s">
        <v>150</v>
      </c>
      <c r="C287">
        <v>10</v>
      </c>
      <c r="D287" s="15">
        <v>45575</v>
      </c>
      <c r="E287" t="s">
        <v>527</v>
      </c>
      <c r="F287" t="s">
        <v>173</v>
      </c>
      <c r="G287" t="s">
        <v>525</v>
      </c>
      <c r="H287">
        <v>0</v>
      </c>
      <c r="I287">
        <v>1</v>
      </c>
      <c r="J287" t="s">
        <v>385</v>
      </c>
    </row>
    <row r="288" spans="1:10">
      <c r="A288">
        <v>45</v>
      </c>
      <c r="B288" t="s">
        <v>136</v>
      </c>
      <c r="C288">
        <v>1</v>
      </c>
      <c r="D288" s="15">
        <v>45977</v>
      </c>
      <c r="E288" t="s">
        <v>527</v>
      </c>
      <c r="F288" t="s">
        <v>173</v>
      </c>
      <c r="G288" t="s">
        <v>526</v>
      </c>
      <c r="H288">
        <v>2</v>
      </c>
      <c r="I288">
        <v>0</v>
      </c>
      <c r="J288" t="s">
        <v>377</v>
      </c>
    </row>
    <row r="289" spans="1:10">
      <c r="A289">
        <v>45</v>
      </c>
      <c r="B289" t="s">
        <v>136</v>
      </c>
      <c r="C289">
        <v>2</v>
      </c>
      <c r="D289" s="15">
        <v>45974</v>
      </c>
      <c r="E289" t="s">
        <v>527</v>
      </c>
      <c r="F289" t="s">
        <v>171</v>
      </c>
      <c r="G289" t="s">
        <v>526</v>
      </c>
      <c r="H289">
        <v>2</v>
      </c>
      <c r="I289">
        <v>0</v>
      </c>
      <c r="J289" t="s">
        <v>362</v>
      </c>
    </row>
    <row r="290" spans="1:10">
      <c r="A290">
        <v>45</v>
      </c>
      <c r="B290" t="s">
        <v>136</v>
      </c>
      <c r="C290">
        <v>3</v>
      </c>
      <c r="D290" s="15">
        <v>45944</v>
      </c>
      <c r="E290" t="s">
        <v>527</v>
      </c>
      <c r="F290" t="s">
        <v>173</v>
      </c>
      <c r="G290" t="s">
        <v>526</v>
      </c>
      <c r="H290">
        <v>5</v>
      </c>
      <c r="I290">
        <v>0</v>
      </c>
      <c r="J290" t="s">
        <v>446</v>
      </c>
    </row>
    <row r="291" spans="1:10">
      <c r="A291">
        <v>45</v>
      </c>
      <c r="B291" t="s">
        <v>136</v>
      </c>
      <c r="C291">
        <v>4</v>
      </c>
      <c r="D291" s="15">
        <v>45909</v>
      </c>
      <c r="E291" t="s">
        <v>527</v>
      </c>
      <c r="F291" t="s">
        <v>173</v>
      </c>
      <c r="G291" t="s">
        <v>526</v>
      </c>
      <c r="H291">
        <v>5</v>
      </c>
      <c r="I291">
        <v>0</v>
      </c>
      <c r="J291" t="s">
        <v>362</v>
      </c>
    </row>
    <row r="292" spans="1:10">
      <c r="A292">
        <v>45</v>
      </c>
      <c r="B292" t="s">
        <v>136</v>
      </c>
      <c r="C292">
        <v>5</v>
      </c>
      <c r="D292" s="15">
        <v>45906</v>
      </c>
      <c r="E292" t="s">
        <v>527</v>
      </c>
      <c r="F292" t="s">
        <v>171</v>
      </c>
      <c r="G292" t="s">
        <v>526</v>
      </c>
      <c r="H292">
        <v>2</v>
      </c>
      <c r="I292">
        <v>0</v>
      </c>
      <c r="J292" t="s">
        <v>478</v>
      </c>
    </row>
    <row r="293" spans="1:10">
      <c r="A293">
        <v>45</v>
      </c>
      <c r="B293" t="s">
        <v>136</v>
      </c>
      <c r="C293">
        <v>6</v>
      </c>
      <c r="D293" s="15">
        <v>45815</v>
      </c>
      <c r="E293" t="s">
        <v>527</v>
      </c>
      <c r="F293" t="s">
        <v>173</v>
      </c>
      <c r="G293" t="s">
        <v>526</v>
      </c>
      <c r="H293">
        <v>1</v>
      </c>
      <c r="I293">
        <v>0</v>
      </c>
      <c r="J293" t="s">
        <v>478</v>
      </c>
    </row>
    <row r="294" spans="1:10">
      <c r="A294">
        <v>45</v>
      </c>
      <c r="B294" t="s">
        <v>136</v>
      </c>
      <c r="C294">
        <v>7</v>
      </c>
      <c r="D294" s="15">
        <v>45740</v>
      </c>
      <c r="E294" t="s">
        <v>527</v>
      </c>
      <c r="F294" t="s">
        <v>171</v>
      </c>
      <c r="G294" t="s">
        <v>526</v>
      </c>
      <c r="H294">
        <v>3</v>
      </c>
      <c r="I294">
        <v>0</v>
      </c>
      <c r="J294" t="s">
        <v>446</v>
      </c>
    </row>
    <row r="295" spans="1:10">
      <c r="A295">
        <v>45</v>
      </c>
      <c r="B295" t="s">
        <v>136</v>
      </c>
      <c r="C295">
        <v>8</v>
      </c>
      <c r="D295" s="15">
        <v>45737</v>
      </c>
      <c r="E295" t="s">
        <v>527</v>
      </c>
      <c r="F295" t="s">
        <v>171</v>
      </c>
      <c r="G295" t="s">
        <v>526</v>
      </c>
      <c r="H295">
        <v>2</v>
      </c>
      <c r="I295">
        <v>0</v>
      </c>
      <c r="J295" t="s">
        <v>377</v>
      </c>
    </row>
    <row r="296" spans="1:10">
      <c r="A296">
        <v>46</v>
      </c>
      <c r="B296" t="s">
        <v>159</v>
      </c>
      <c r="C296">
        <v>1</v>
      </c>
      <c r="D296" s="15">
        <v>45978</v>
      </c>
      <c r="E296" t="s">
        <v>527</v>
      </c>
      <c r="F296" t="s">
        <v>173</v>
      </c>
      <c r="G296" t="s">
        <v>526</v>
      </c>
      <c r="H296">
        <v>3</v>
      </c>
      <c r="I296">
        <v>2</v>
      </c>
      <c r="J296" t="s">
        <v>391</v>
      </c>
    </row>
    <row r="297" spans="1:10">
      <c r="A297">
        <v>46</v>
      </c>
      <c r="B297" t="s">
        <v>159</v>
      </c>
      <c r="C297">
        <v>2</v>
      </c>
      <c r="D297" s="15">
        <v>45975</v>
      </c>
      <c r="E297" t="s">
        <v>527</v>
      </c>
      <c r="F297" t="s">
        <v>171</v>
      </c>
      <c r="G297" t="s">
        <v>526</v>
      </c>
      <c r="H297">
        <v>3</v>
      </c>
      <c r="I297">
        <v>1</v>
      </c>
      <c r="J297" t="s">
        <v>431</v>
      </c>
    </row>
    <row r="298" spans="1:10">
      <c r="A298">
        <v>46</v>
      </c>
      <c r="B298" t="s">
        <v>159</v>
      </c>
      <c r="C298">
        <v>3</v>
      </c>
      <c r="D298" s="15">
        <v>45942</v>
      </c>
      <c r="E298" t="s">
        <v>527</v>
      </c>
      <c r="F298" t="s">
        <v>171</v>
      </c>
      <c r="G298" t="s">
        <v>526</v>
      </c>
      <c r="H298">
        <v>3</v>
      </c>
      <c r="I298">
        <v>0</v>
      </c>
      <c r="J298" t="s">
        <v>508</v>
      </c>
    </row>
    <row r="299" spans="1:10">
      <c r="A299">
        <v>46</v>
      </c>
      <c r="B299" t="s">
        <v>159</v>
      </c>
      <c r="C299">
        <v>4</v>
      </c>
      <c r="D299" s="15">
        <v>45939</v>
      </c>
      <c r="E299" t="s">
        <v>527</v>
      </c>
      <c r="F299" t="s">
        <v>173</v>
      </c>
      <c r="G299" t="s">
        <v>528</v>
      </c>
      <c r="H299">
        <v>0</v>
      </c>
      <c r="I299">
        <v>0</v>
      </c>
      <c r="J299" t="s">
        <v>139</v>
      </c>
    </row>
    <row r="300" spans="1:10">
      <c r="A300">
        <v>46</v>
      </c>
      <c r="B300" t="s">
        <v>159</v>
      </c>
      <c r="C300">
        <v>5</v>
      </c>
      <c r="D300" s="15">
        <v>45908</v>
      </c>
      <c r="E300" t="s">
        <v>527</v>
      </c>
      <c r="F300" t="s">
        <v>171</v>
      </c>
      <c r="G300" t="s">
        <v>526</v>
      </c>
      <c r="H300">
        <v>4</v>
      </c>
      <c r="I300">
        <v>0</v>
      </c>
      <c r="J300" t="s">
        <v>391</v>
      </c>
    </row>
    <row r="301" spans="1:10">
      <c r="A301">
        <v>46</v>
      </c>
      <c r="B301" t="s">
        <v>159</v>
      </c>
      <c r="C301">
        <v>6</v>
      </c>
      <c r="D301" s="15">
        <v>45905</v>
      </c>
      <c r="E301" t="s">
        <v>527</v>
      </c>
      <c r="F301" t="s">
        <v>173</v>
      </c>
      <c r="G301" t="s">
        <v>526</v>
      </c>
      <c r="H301">
        <v>1</v>
      </c>
      <c r="I301">
        <v>0</v>
      </c>
      <c r="J301" t="s">
        <v>431</v>
      </c>
    </row>
    <row r="302" spans="1:10">
      <c r="A302">
        <v>46</v>
      </c>
      <c r="B302" t="s">
        <v>159</v>
      </c>
      <c r="C302">
        <v>7</v>
      </c>
      <c r="D302" s="15">
        <v>45817</v>
      </c>
      <c r="E302" t="s">
        <v>527</v>
      </c>
      <c r="F302" t="s">
        <v>171</v>
      </c>
      <c r="G302" t="s">
        <v>526</v>
      </c>
      <c r="H302">
        <v>5</v>
      </c>
      <c r="I302">
        <v>1</v>
      </c>
      <c r="J302" t="s">
        <v>139</v>
      </c>
    </row>
    <row r="303" spans="1:10">
      <c r="A303">
        <v>46</v>
      </c>
      <c r="B303" t="s">
        <v>159</v>
      </c>
      <c r="C303">
        <v>8</v>
      </c>
      <c r="D303" s="15">
        <v>45814</v>
      </c>
      <c r="E303" t="s">
        <v>527</v>
      </c>
      <c r="F303" t="s">
        <v>173</v>
      </c>
      <c r="G303" t="s">
        <v>526</v>
      </c>
      <c r="H303">
        <v>7</v>
      </c>
      <c r="I303">
        <v>0</v>
      </c>
      <c r="J303" t="s">
        <v>508</v>
      </c>
    </row>
    <row r="304" spans="1:10">
      <c r="A304">
        <v>47</v>
      </c>
      <c r="B304" t="s">
        <v>137</v>
      </c>
      <c r="C304">
        <v>1</v>
      </c>
      <c r="D304" s="15">
        <v>45942</v>
      </c>
      <c r="E304" t="s">
        <v>527</v>
      </c>
      <c r="F304" t="s">
        <v>171</v>
      </c>
      <c r="G304" t="s">
        <v>526</v>
      </c>
      <c r="H304">
        <v>1</v>
      </c>
      <c r="I304">
        <v>0</v>
      </c>
      <c r="J304" t="s">
        <v>415</v>
      </c>
    </row>
    <row r="305" spans="1:10">
      <c r="A305">
        <v>47</v>
      </c>
      <c r="B305" t="s">
        <v>137</v>
      </c>
      <c r="C305">
        <v>2</v>
      </c>
      <c r="D305" s="15">
        <v>45938</v>
      </c>
      <c r="E305" t="s">
        <v>527</v>
      </c>
      <c r="F305" t="s">
        <v>524</v>
      </c>
      <c r="G305" t="s">
        <v>526</v>
      </c>
      <c r="H305">
        <v>5</v>
      </c>
      <c r="I305">
        <v>0</v>
      </c>
      <c r="J305" t="s">
        <v>540</v>
      </c>
    </row>
    <row r="306" spans="1:10">
      <c r="A306">
        <v>47</v>
      </c>
      <c r="B306" t="s">
        <v>137</v>
      </c>
      <c r="C306">
        <v>3</v>
      </c>
      <c r="D306" s="15">
        <v>45908</v>
      </c>
      <c r="E306" t="s">
        <v>527</v>
      </c>
      <c r="F306" t="s">
        <v>171</v>
      </c>
      <c r="G306" t="s">
        <v>526</v>
      </c>
      <c r="H306">
        <v>1</v>
      </c>
      <c r="I306">
        <v>0</v>
      </c>
      <c r="J306" t="s">
        <v>372</v>
      </c>
    </row>
    <row r="307" spans="1:10">
      <c r="A307">
        <v>47</v>
      </c>
      <c r="B307" t="s">
        <v>137</v>
      </c>
      <c r="C307">
        <v>4</v>
      </c>
      <c r="D307" s="15">
        <v>45904</v>
      </c>
      <c r="E307" t="s">
        <v>527</v>
      </c>
      <c r="F307" t="s">
        <v>173</v>
      </c>
      <c r="G307" t="s">
        <v>528</v>
      </c>
      <c r="H307">
        <v>1</v>
      </c>
      <c r="I307">
        <v>1</v>
      </c>
      <c r="J307" t="s">
        <v>483</v>
      </c>
    </row>
    <row r="308" spans="1:10">
      <c r="A308">
        <v>47</v>
      </c>
      <c r="B308" t="s">
        <v>137</v>
      </c>
      <c r="C308">
        <v>5</v>
      </c>
      <c r="D308" s="15">
        <v>45740</v>
      </c>
      <c r="E308" t="s">
        <v>527</v>
      </c>
      <c r="F308" t="s">
        <v>524</v>
      </c>
      <c r="G308" t="s">
        <v>526</v>
      </c>
      <c r="H308">
        <v>3</v>
      </c>
      <c r="I308">
        <v>0</v>
      </c>
      <c r="J308" t="s">
        <v>411</v>
      </c>
    </row>
    <row r="309" spans="1:10">
      <c r="A309">
        <v>47</v>
      </c>
      <c r="B309" t="s">
        <v>137</v>
      </c>
      <c r="C309">
        <v>6</v>
      </c>
      <c r="D309" s="15">
        <v>45737</v>
      </c>
      <c r="E309" t="s">
        <v>527</v>
      </c>
      <c r="F309" t="s">
        <v>171</v>
      </c>
      <c r="G309" t="s">
        <v>526</v>
      </c>
      <c r="H309">
        <v>5</v>
      </c>
      <c r="I309">
        <v>0</v>
      </c>
      <c r="J309" t="s">
        <v>483</v>
      </c>
    </row>
    <row r="310" spans="1:10">
      <c r="A310">
        <v>47</v>
      </c>
      <c r="B310" t="s">
        <v>137</v>
      </c>
      <c r="C310">
        <v>7</v>
      </c>
      <c r="D310" s="15">
        <v>45453</v>
      </c>
      <c r="E310" t="s">
        <v>527</v>
      </c>
      <c r="F310" t="s">
        <v>171</v>
      </c>
      <c r="G310" t="s">
        <v>526</v>
      </c>
      <c r="H310">
        <v>4</v>
      </c>
      <c r="I310">
        <v>3</v>
      </c>
      <c r="J310" t="s">
        <v>540</v>
      </c>
    </row>
    <row r="311" spans="1:10">
      <c r="A311">
        <v>47</v>
      </c>
      <c r="B311" t="s">
        <v>137</v>
      </c>
      <c r="C311">
        <v>8</v>
      </c>
      <c r="D311" s="15">
        <v>45449</v>
      </c>
      <c r="E311" t="s">
        <v>527</v>
      </c>
      <c r="F311" t="s">
        <v>173</v>
      </c>
      <c r="G311" t="s">
        <v>526</v>
      </c>
      <c r="H311">
        <v>2</v>
      </c>
      <c r="I311">
        <v>1</v>
      </c>
      <c r="J311" t="s">
        <v>372</v>
      </c>
    </row>
    <row r="312" spans="1:10">
      <c r="A312">
        <v>47</v>
      </c>
      <c r="B312" t="s">
        <v>137</v>
      </c>
      <c r="C312">
        <v>9</v>
      </c>
      <c r="D312" s="15">
        <v>45251</v>
      </c>
      <c r="E312" t="s">
        <v>527</v>
      </c>
      <c r="F312" t="s">
        <v>173</v>
      </c>
      <c r="G312" t="s">
        <v>525</v>
      </c>
      <c r="H312">
        <v>0</v>
      </c>
      <c r="I312">
        <v>1</v>
      </c>
      <c r="J312" t="s">
        <v>415</v>
      </c>
    </row>
    <row r="313" spans="1:10">
      <c r="A313">
        <v>47</v>
      </c>
      <c r="B313" t="s">
        <v>137</v>
      </c>
      <c r="C313">
        <v>10</v>
      </c>
      <c r="D313" s="15">
        <v>45247</v>
      </c>
      <c r="E313" t="s">
        <v>527</v>
      </c>
      <c r="F313" t="s">
        <v>171</v>
      </c>
      <c r="G313" t="s">
        <v>526</v>
      </c>
      <c r="H313">
        <v>1</v>
      </c>
      <c r="I313">
        <v>0</v>
      </c>
      <c r="J313" t="s">
        <v>411</v>
      </c>
    </row>
    <row r="314" spans="1:10">
      <c r="A314">
        <v>48</v>
      </c>
      <c r="B314" t="s">
        <v>149</v>
      </c>
      <c r="C314">
        <v>1</v>
      </c>
      <c r="D314" s="15">
        <v>45979</v>
      </c>
      <c r="E314" t="s">
        <v>527</v>
      </c>
      <c r="F314" t="s">
        <v>171</v>
      </c>
      <c r="G314" t="s">
        <v>526</v>
      </c>
      <c r="H314">
        <v>3</v>
      </c>
      <c r="I314">
        <v>0</v>
      </c>
      <c r="J314" t="s">
        <v>406</v>
      </c>
    </row>
    <row r="315" spans="1:10">
      <c r="A315">
        <v>48</v>
      </c>
      <c r="B315" t="s">
        <v>149</v>
      </c>
      <c r="C315">
        <v>2</v>
      </c>
      <c r="D315" s="15">
        <v>45974</v>
      </c>
      <c r="E315" t="s">
        <v>527</v>
      </c>
      <c r="F315" t="s">
        <v>173</v>
      </c>
      <c r="G315" t="s">
        <v>526</v>
      </c>
      <c r="H315">
        <v>3</v>
      </c>
      <c r="I315">
        <v>2</v>
      </c>
      <c r="J315" t="s">
        <v>400</v>
      </c>
    </row>
    <row r="316" spans="1:10">
      <c r="A316">
        <v>48</v>
      </c>
      <c r="B316" t="s">
        <v>149</v>
      </c>
      <c r="C316">
        <v>3</v>
      </c>
      <c r="D316" s="15">
        <v>45944</v>
      </c>
      <c r="E316" t="s">
        <v>527</v>
      </c>
      <c r="F316" t="s">
        <v>171</v>
      </c>
      <c r="G316" t="s">
        <v>528</v>
      </c>
      <c r="H316">
        <v>1</v>
      </c>
      <c r="I316">
        <v>1</v>
      </c>
      <c r="J316" t="s">
        <v>429</v>
      </c>
    </row>
    <row r="317" spans="1:10">
      <c r="A317">
        <v>48</v>
      </c>
      <c r="B317" t="s">
        <v>149</v>
      </c>
      <c r="C317">
        <v>4</v>
      </c>
      <c r="D317" s="15">
        <v>45940</v>
      </c>
      <c r="E317" t="s">
        <v>527</v>
      </c>
      <c r="F317" t="s">
        <v>173</v>
      </c>
      <c r="G317" t="s">
        <v>526</v>
      </c>
      <c r="H317">
        <v>1</v>
      </c>
      <c r="I317">
        <v>0</v>
      </c>
      <c r="J317" t="s">
        <v>406</v>
      </c>
    </row>
    <row r="318" spans="1:10">
      <c r="A318">
        <v>48</v>
      </c>
      <c r="B318" t="s">
        <v>149</v>
      </c>
      <c r="C318">
        <v>5</v>
      </c>
      <c r="D318" s="15">
        <v>45908</v>
      </c>
      <c r="E318" t="s">
        <v>527</v>
      </c>
      <c r="F318" t="s">
        <v>171</v>
      </c>
      <c r="G318" t="s">
        <v>528</v>
      </c>
      <c r="H318">
        <v>1</v>
      </c>
      <c r="I318">
        <v>1</v>
      </c>
      <c r="J318" t="s">
        <v>400</v>
      </c>
    </row>
    <row r="319" spans="1:10">
      <c r="A319">
        <v>48</v>
      </c>
      <c r="B319" t="s">
        <v>149</v>
      </c>
      <c r="C319">
        <v>6</v>
      </c>
      <c r="D319" s="15">
        <v>45904</v>
      </c>
      <c r="E319" t="s">
        <v>527</v>
      </c>
      <c r="F319" t="s">
        <v>173</v>
      </c>
      <c r="G319" t="s">
        <v>528</v>
      </c>
      <c r="H319">
        <v>0</v>
      </c>
      <c r="I319">
        <v>0</v>
      </c>
      <c r="J319" t="s">
        <v>429</v>
      </c>
    </row>
    <row r="320" spans="1:10">
      <c r="A320">
        <v>48</v>
      </c>
      <c r="B320" t="s">
        <v>149</v>
      </c>
      <c r="C320">
        <v>7</v>
      </c>
      <c r="D320" s="15">
        <v>45818</v>
      </c>
      <c r="E320" t="s">
        <v>527</v>
      </c>
      <c r="F320" t="s">
        <v>171</v>
      </c>
      <c r="G320" t="s">
        <v>526</v>
      </c>
      <c r="H320">
        <v>3</v>
      </c>
      <c r="I320">
        <v>0</v>
      </c>
      <c r="J320" t="s">
        <v>438</v>
      </c>
    </row>
    <row r="321" spans="1:10">
      <c r="A321">
        <v>48</v>
      </c>
      <c r="B321" t="s">
        <v>149</v>
      </c>
      <c r="C321">
        <v>8</v>
      </c>
      <c r="D321" s="15">
        <v>45815</v>
      </c>
      <c r="E321" t="s">
        <v>527</v>
      </c>
      <c r="F321" t="s">
        <v>173</v>
      </c>
      <c r="G321" t="s">
        <v>526</v>
      </c>
      <c r="H321">
        <v>2</v>
      </c>
      <c r="I321">
        <v>0</v>
      </c>
      <c r="J321" t="s">
        <v>487</v>
      </c>
    </row>
    <row r="322" spans="1:10">
      <c r="A322">
        <v>48</v>
      </c>
      <c r="B322" t="s">
        <v>149</v>
      </c>
      <c r="C322">
        <v>9</v>
      </c>
      <c r="D322" s="15">
        <v>45452</v>
      </c>
      <c r="E322" t="s">
        <v>527</v>
      </c>
      <c r="F322" t="s">
        <v>173</v>
      </c>
      <c r="G322" t="s">
        <v>526</v>
      </c>
      <c r="H322">
        <v>3</v>
      </c>
      <c r="I322">
        <v>1</v>
      </c>
      <c r="J322" t="s">
        <v>481</v>
      </c>
    </row>
    <row r="323" spans="1:10">
      <c r="A323">
        <v>48</v>
      </c>
      <c r="B323" t="s">
        <v>149</v>
      </c>
      <c r="C323">
        <v>10</v>
      </c>
      <c r="D323" s="15">
        <v>45449</v>
      </c>
      <c r="E323" t="s">
        <v>527</v>
      </c>
      <c r="F323" t="s">
        <v>171</v>
      </c>
      <c r="G323" t="s">
        <v>526</v>
      </c>
      <c r="H323">
        <v>2</v>
      </c>
      <c r="I323">
        <v>0</v>
      </c>
      <c r="J323" t="s">
        <v>457</v>
      </c>
    </row>
  </sheetData>
  <autoFilter ref="A1:J1" xr:uid="{1745E4BF-2A16-2A44-BF4C-E29CD40AB6B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46439-E086-374E-A801-34D8F747FE08}">
  <dimension ref="A1:N1249"/>
  <sheetViews>
    <sheetView workbookViewId="0">
      <pane ySplit="1" topLeftCell="A737" activePane="bottomLeft" state="frozen"/>
      <selection activeCell="K1" sqref="K1"/>
      <selection pane="bottomLeft" activeCell="I11" sqref="I11"/>
    </sheetView>
  </sheetViews>
  <sheetFormatPr baseColWidth="10" defaultRowHeight="16"/>
  <cols>
    <col min="6" max="6" width="14.83203125" customWidth="1"/>
    <col min="7" max="7" width="16.5" customWidth="1"/>
    <col min="9" max="9" width="31.83203125" customWidth="1"/>
    <col min="10" max="10" width="20.33203125" customWidth="1"/>
    <col min="11" max="11" width="30.33203125" customWidth="1"/>
    <col min="12" max="12" width="21.33203125" customWidth="1"/>
    <col min="13" max="13" width="22.33203125" customWidth="1"/>
    <col min="14" max="14" width="36.33203125" customWidth="1"/>
    <col min="15" max="15" width="22.5" customWidth="1"/>
  </cols>
  <sheetData>
    <row r="1" spans="1:14">
      <c r="A1" t="s">
        <v>314</v>
      </c>
      <c r="B1" t="s">
        <v>1932</v>
      </c>
      <c r="C1" t="s">
        <v>1933</v>
      </c>
      <c r="D1" t="s">
        <v>1934</v>
      </c>
      <c r="E1" t="s">
        <v>1935</v>
      </c>
      <c r="F1" t="s">
        <v>1936</v>
      </c>
      <c r="G1" t="s">
        <v>1937</v>
      </c>
      <c r="H1" t="s">
        <v>1938</v>
      </c>
      <c r="I1" t="s">
        <v>1939</v>
      </c>
      <c r="J1" t="s">
        <v>1940</v>
      </c>
      <c r="K1" t="s">
        <v>1941</v>
      </c>
      <c r="L1" t="s">
        <v>549</v>
      </c>
      <c r="M1" t="s">
        <v>550</v>
      </c>
      <c r="N1" t="s">
        <v>551</v>
      </c>
    </row>
    <row r="2" spans="1:14">
      <c r="A2" t="s">
        <v>161</v>
      </c>
      <c r="B2" t="s">
        <v>552</v>
      </c>
      <c r="C2" t="s">
        <v>553</v>
      </c>
      <c r="D2" t="s">
        <v>554</v>
      </c>
      <c r="E2" t="s">
        <v>555</v>
      </c>
      <c r="F2">
        <v>1530</v>
      </c>
      <c r="G2">
        <v>3</v>
      </c>
      <c r="H2">
        <v>2</v>
      </c>
      <c r="I2">
        <v>769</v>
      </c>
      <c r="J2">
        <v>1</v>
      </c>
      <c r="K2">
        <v>5</v>
      </c>
      <c r="L2">
        <v>0</v>
      </c>
      <c r="M2" t="s">
        <v>1931</v>
      </c>
      <c r="N2">
        <v>1</v>
      </c>
    </row>
    <row r="3" spans="1:14">
      <c r="A3" t="s">
        <v>161</v>
      </c>
      <c r="B3" t="s">
        <v>556</v>
      </c>
      <c r="C3" t="s">
        <v>557</v>
      </c>
      <c r="D3" t="s">
        <v>558</v>
      </c>
      <c r="E3" t="s">
        <v>555</v>
      </c>
      <c r="F3">
        <v>1792</v>
      </c>
      <c r="G3">
        <v>2</v>
      </c>
      <c r="H3">
        <v>9</v>
      </c>
      <c r="I3">
        <v>500</v>
      </c>
      <c r="J3">
        <v>1</v>
      </c>
      <c r="K3">
        <v>11</v>
      </c>
      <c r="L3">
        <v>0</v>
      </c>
      <c r="M3">
        <v>0</v>
      </c>
      <c r="N3">
        <v>0</v>
      </c>
    </row>
    <row r="4" spans="1:14">
      <c r="A4" t="s">
        <v>161</v>
      </c>
      <c r="B4" t="s">
        <v>559</v>
      </c>
      <c r="C4" t="s">
        <v>553</v>
      </c>
      <c r="D4" t="s">
        <v>560</v>
      </c>
      <c r="E4" t="s">
        <v>561</v>
      </c>
      <c r="F4">
        <v>2424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  <c r="N4">
        <v>0</v>
      </c>
    </row>
    <row r="5" spans="1:14">
      <c r="A5" t="s">
        <v>161</v>
      </c>
      <c r="B5" t="s">
        <v>562</v>
      </c>
      <c r="C5" t="s">
        <v>557</v>
      </c>
      <c r="D5" t="s">
        <v>563</v>
      </c>
      <c r="E5" t="s">
        <v>555</v>
      </c>
      <c r="F5">
        <v>1849</v>
      </c>
      <c r="G5">
        <v>3</v>
      </c>
      <c r="H5">
        <v>4</v>
      </c>
      <c r="I5">
        <v>785</v>
      </c>
      <c r="J5">
        <v>1</v>
      </c>
      <c r="K5">
        <v>7</v>
      </c>
      <c r="L5">
        <v>0</v>
      </c>
      <c r="M5">
        <v>0</v>
      </c>
      <c r="N5">
        <v>0</v>
      </c>
    </row>
    <row r="6" spans="1:14">
      <c r="A6" t="s">
        <v>161</v>
      </c>
      <c r="B6" t="s">
        <v>564</v>
      </c>
      <c r="C6" t="s">
        <v>553</v>
      </c>
      <c r="D6" t="s">
        <v>565</v>
      </c>
      <c r="E6" t="s">
        <v>566</v>
      </c>
      <c r="F6">
        <v>1920</v>
      </c>
      <c r="G6">
        <v>2</v>
      </c>
      <c r="H6">
        <v>0</v>
      </c>
      <c r="I6">
        <v>0</v>
      </c>
      <c r="J6">
        <v>1</v>
      </c>
      <c r="K6">
        <v>2</v>
      </c>
      <c r="L6">
        <v>0</v>
      </c>
      <c r="M6">
        <v>0</v>
      </c>
      <c r="N6">
        <v>0</v>
      </c>
    </row>
    <row r="7" spans="1:14">
      <c r="A7" t="s">
        <v>161</v>
      </c>
      <c r="B7" t="s">
        <v>567</v>
      </c>
      <c r="C7" t="s">
        <v>557</v>
      </c>
      <c r="D7" t="s">
        <v>560</v>
      </c>
      <c r="E7" t="s">
        <v>561</v>
      </c>
      <c r="F7">
        <v>1287</v>
      </c>
      <c r="G7">
        <v>1</v>
      </c>
      <c r="H7">
        <v>2</v>
      </c>
      <c r="I7">
        <v>0</v>
      </c>
      <c r="J7">
        <v>1</v>
      </c>
      <c r="K7">
        <v>3</v>
      </c>
      <c r="L7">
        <v>0</v>
      </c>
      <c r="M7">
        <v>0</v>
      </c>
      <c r="N7">
        <v>0</v>
      </c>
    </row>
    <row r="8" spans="1:14">
      <c r="A8" t="s">
        <v>161</v>
      </c>
      <c r="B8" t="s">
        <v>568</v>
      </c>
      <c r="C8" t="s">
        <v>553</v>
      </c>
      <c r="D8" t="s">
        <v>569</v>
      </c>
      <c r="E8" t="s">
        <v>570</v>
      </c>
      <c r="F8">
        <v>974</v>
      </c>
      <c r="G8">
        <v>0</v>
      </c>
      <c r="H8">
        <v>2</v>
      </c>
      <c r="I8">
        <v>341</v>
      </c>
      <c r="J8">
        <v>1</v>
      </c>
      <c r="K8">
        <v>2</v>
      </c>
      <c r="L8">
        <v>0</v>
      </c>
      <c r="M8">
        <v>0</v>
      </c>
      <c r="N8">
        <v>1</v>
      </c>
    </row>
    <row r="9" spans="1:14">
      <c r="A9" t="s">
        <v>161</v>
      </c>
      <c r="B9" t="s">
        <v>571</v>
      </c>
      <c r="C9" t="s">
        <v>572</v>
      </c>
      <c r="I9">
        <v>0</v>
      </c>
      <c r="N9">
        <v>0</v>
      </c>
    </row>
    <row r="10" spans="1:14">
      <c r="A10" t="s">
        <v>161</v>
      </c>
      <c r="B10" t="s">
        <v>573</v>
      </c>
      <c r="C10" t="s">
        <v>557</v>
      </c>
      <c r="I10">
        <v>0</v>
      </c>
      <c r="N10">
        <v>0</v>
      </c>
    </row>
    <row r="11" spans="1:14">
      <c r="A11" t="s">
        <v>161</v>
      </c>
      <c r="B11" t="s">
        <v>574</v>
      </c>
      <c r="C11" t="s">
        <v>575</v>
      </c>
      <c r="D11" t="s">
        <v>576</v>
      </c>
      <c r="E11" t="s">
        <v>561</v>
      </c>
      <c r="F11">
        <v>1326</v>
      </c>
      <c r="G11">
        <v>8</v>
      </c>
      <c r="H11">
        <v>3</v>
      </c>
      <c r="I11">
        <v>165</v>
      </c>
      <c r="J11">
        <v>1</v>
      </c>
      <c r="K11">
        <v>11</v>
      </c>
      <c r="L11">
        <v>1</v>
      </c>
      <c r="M11">
        <v>0.74660000000000004</v>
      </c>
      <c r="N11">
        <v>0</v>
      </c>
    </row>
    <row r="12" spans="1:14">
      <c r="A12" t="s">
        <v>161</v>
      </c>
      <c r="B12" t="s">
        <v>577</v>
      </c>
      <c r="C12" t="s">
        <v>557</v>
      </c>
      <c r="I12">
        <v>0</v>
      </c>
      <c r="N12">
        <v>0</v>
      </c>
    </row>
    <row r="13" spans="1:14">
      <c r="A13" t="s">
        <v>161</v>
      </c>
      <c r="B13" t="s">
        <v>578</v>
      </c>
      <c r="C13" t="s">
        <v>557</v>
      </c>
      <c r="D13" t="s">
        <v>579</v>
      </c>
      <c r="E13" t="s">
        <v>561</v>
      </c>
      <c r="F13">
        <v>1694</v>
      </c>
      <c r="G13">
        <v>1</v>
      </c>
      <c r="H13">
        <v>2</v>
      </c>
      <c r="I13">
        <v>0</v>
      </c>
      <c r="J13">
        <v>1</v>
      </c>
      <c r="K13">
        <v>3</v>
      </c>
      <c r="L13">
        <v>0</v>
      </c>
      <c r="M13">
        <v>0</v>
      </c>
      <c r="N13">
        <v>0</v>
      </c>
    </row>
    <row r="14" spans="1:14">
      <c r="A14" t="s">
        <v>161</v>
      </c>
      <c r="B14" t="s">
        <v>580</v>
      </c>
      <c r="C14" t="s">
        <v>557</v>
      </c>
      <c r="I14">
        <v>0</v>
      </c>
      <c r="N14">
        <v>0</v>
      </c>
    </row>
    <row r="15" spans="1:14">
      <c r="A15" t="s">
        <v>161</v>
      </c>
      <c r="B15" t="s">
        <v>581</v>
      </c>
      <c r="C15" t="s">
        <v>553</v>
      </c>
      <c r="I15">
        <v>0</v>
      </c>
      <c r="N15">
        <v>0</v>
      </c>
    </row>
    <row r="16" spans="1:14">
      <c r="A16" t="s">
        <v>161</v>
      </c>
      <c r="B16" t="s">
        <v>582</v>
      </c>
      <c r="C16" t="s">
        <v>557</v>
      </c>
      <c r="I16">
        <v>0</v>
      </c>
      <c r="N16">
        <v>0</v>
      </c>
    </row>
    <row r="17" spans="1:14">
      <c r="A17" t="s">
        <v>161</v>
      </c>
      <c r="B17" t="s">
        <v>583</v>
      </c>
      <c r="C17" t="s">
        <v>572</v>
      </c>
      <c r="I17">
        <v>0</v>
      </c>
      <c r="N17">
        <v>0</v>
      </c>
    </row>
    <row r="18" spans="1:14">
      <c r="A18" t="s">
        <v>161</v>
      </c>
      <c r="B18" t="s">
        <v>584</v>
      </c>
      <c r="C18" t="s">
        <v>575</v>
      </c>
      <c r="I18">
        <v>0</v>
      </c>
      <c r="N18">
        <v>0</v>
      </c>
    </row>
    <row r="19" spans="1:14">
      <c r="A19" t="s">
        <v>161</v>
      </c>
      <c r="B19" t="s">
        <v>585</v>
      </c>
      <c r="C19" t="s">
        <v>575</v>
      </c>
      <c r="D19" t="s">
        <v>586</v>
      </c>
      <c r="E19" t="s">
        <v>555</v>
      </c>
      <c r="F19">
        <v>1919</v>
      </c>
      <c r="G19">
        <v>7</v>
      </c>
      <c r="H19">
        <v>3</v>
      </c>
      <c r="I19">
        <v>0</v>
      </c>
      <c r="J19">
        <v>1</v>
      </c>
      <c r="K19">
        <v>10</v>
      </c>
      <c r="L19">
        <v>1</v>
      </c>
      <c r="M19">
        <v>0.46899999999999997</v>
      </c>
      <c r="N19">
        <v>0</v>
      </c>
    </row>
    <row r="20" spans="1:14">
      <c r="A20" t="s">
        <v>161</v>
      </c>
      <c r="B20" t="s">
        <v>587</v>
      </c>
      <c r="C20" t="s">
        <v>553</v>
      </c>
      <c r="I20">
        <v>0</v>
      </c>
      <c r="N20">
        <v>0</v>
      </c>
    </row>
    <row r="21" spans="1:14">
      <c r="A21" t="s">
        <v>161</v>
      </c>
      <c r="B21" t="s">
        <v>588</v>
      </c>
      <c r="C21" t="s">
        <v>553</v>
      </c>
      <c r="D21" t="s">
        <v>589</v>
      </c>
      <c r="E21" t="s">
        <v>561</v>
      </c>
      <c r="F21">
        <v>1154</v>
      </c>
      <c r="G21">
        <v>1</v>
      </c>
      <c r="H21">
        <v>0</v>
      </c>
      <c r="I21">
        <v>0</v>
      </c>
      <c r="J21">
        <v>1</v>
      </c>
      <c r="K21">
        <v>1</v>
      </c>
      <c r="L21">
        <v>0</v>
      </c>
      <c r="M21">
        <v>0</v>
      </c>
      <c r="N21">
        <v>0</v>
      </c>
    </row>
    <row r="22" spans="1:14">
      <c r="A22" t="s">
        <v>161</v>
      </c>
      <c r="B22" t="s">
        <v>590</v>
      </c>
      <c r="C22" t="s">
        <v>575</v>
      </c>
      <c r="I22">
        <v>0</v>
      </c>
      <c r="N22">
        <v>0</v>
      </c>
    </row>
    <row r="23" spans="1:14">
      <c r="A23" t="s">
        <v>161</v>
      </c>
      <c r="B23" t="s">
        <v>591</v>
      </c>
      <c r="C23" t="s">
        <v>575</v>
      </c>
      <c r="I23">
        <v>0</v>
      </c>
      <c r="N23">
        <v>0</v>
      </c>
    </row>
    <row r="24" spans="1:14">
      <c r="A24" t="s">
        <v>161</v>
      </c>
      <c r="B24" t="s">
        <v>592</v>
      </c>
      <c r="C24" t="s">
        <v>553</v>
      </c>
      <c r="I24">
        <v>0</v>
      </c>
      <c r="N24">
        <v>0</v>
      </c>
    </row>
    <row r="25" spans="1:14">
      <c r="A25" t="s">
        <v>161</v>
      </c>
      <c r="B25" t="s">
        <v>593</v>
      </c>
      <c r="C25" t="s">
        <v>553</v>
      </c>
      <c r="I25">
        <v>0</v>
      </c>
      <c r="N25">
        <v>0</v>
      </c>
    </row>
    <row r="26" spans="1:14">
      <c r="A26" t="s">
        <v>161</v>
      </c>
      <c r="B26" t="s">
        <v>594</v>
      </c>
      <c r="C26" t="s">
        <v>572</v>
      </c>
      <c r="I26">
        <v>0</v>
      </c>
      <c r="N26">
        <v>0</v>
      </c>
    </row>
    <row r="27" spans="1:14">
      <c r="A27" t="s">
        <v>161</v>
      </c>
      <c r="B27" t="s">
        <v>595</v>
      </c>
      <c r="C27" t="s">
        <v>557</v>
      </c>
      <c r="I27">
        <v>0</v>
      </c>
      <c r="N27">
        <v>0</v>
      </c>
    </row>
    <row r="28" spans="1:14">
      <c r="A28" t="s">
        <v>133</v>
      </c>
      <c r="B28" t="s">
        <v>596</v>
      </c>
      <c r="C28" t="s">
        <v>572</v>
      </c>
      <c r="D28" t="s">
        <v>597</v>
      </c>
      <c r="E28" t="s">
        <v>570</v>
      </c>
      <c r="F28">
        <v>2835</v>
      </c>
      <c r="G28">
        <v>0</v>
      </c>
      <c r="H28">
        <v>1</v>
      </c>
      <c r="I28">
        <v>0</v>
      </c>
      <c r="J28">
        <v>1</v>
      </c>
      <c r="K28">
        <v>1</v>
      </c>
      <c r="L28">
        <v>0</v>
      </c>
      <c r="M28">
        <v>0</v>
      </c>
      <c r="N28">
        <v>0</v>
      </c>
    </row>
    <row r="29" spans="1:14">
      <c r="A29" t="s">
        <v>133</v>
      </c>
      <c r="B29" t="s">
        <v>598</v>
      </c>
      <c r="C29" t="s">
        <v>557</v>
      </c>
      <c r="D29" t="s">
        <v>599</v>
      </c>
      <c r="E29" t="s">
        <v>570</v>
      </c>
      <c r="F29">
        <v>2658</v>
      </c>
      <c r="G29">
        <v>2</v>
      </c>
      <c r="H29">
        <v>4</v>
      </c>
      <c r="I29">
        <v>854</v>
      </c>
      <c r="J29">
        <v>1</v>
      </c>
      <c r="K29">
        <v>6</v>
      </c>
      <c r="L29">
        <v>0</v>
      </c>
      <c r="M29">
        <v>0</v>
      </c>
      <c r="N29">
        <v>0</v>
      </c>
    </row>
    <row r="30" spans="1:14">
      <c r="A30" t="s">
        <v>133</v>
      </c>
      <c r="B30" t="s">
        <v>600</v>
      </c>
      <c r="C30" t="s">
        <v>575</v>
      </c>
      <c r="I30">
        <v>0</v>
      </c>
      <c r="N30">
        <v>0</v>
      </c>
    </row>
    <row r="31" spans="1:14">
      <c r="A31" t="s">
        <v>133</v>
      </c>
      <c r="B31" t="s">
        <v>601</v>
      </c>
      <c r="C31" t="s">
        <v>557</v>
      </c>
      <c r="D31" t="s">
        <v>602</v>
      </c>
      <c r="E31" t="s">
        <v>570</v>
      </c>
      <c r="F31">
        <v>3115</v>
      </c>
      <c r="G31">
        <v>8</v>
      </c>
      <c r="H31">
        <v>4</v>
      </c>
      <c r="I31">
        <v>744</v>
      </c>
      <c r="J31">
        <v>1</v>
      </c>
      <c r="K31">
        <v>12</v>
      </c>
      <c r="L31">
        <v>0</v>
      </c>
      <c r="M31">
        <v>0</v>
      </c>
      <c r="N31">
        <v>0</v>
      </c>
    </row>
    <row r="32" spans="1:14">
      <c r="A32" t="s">
        <v>133</v>
      </c>
      <c r="B32" t="s">
        <v>603</v>
      </c>
      <c r="C32" t="s">
        <v>553</v>
      </c>
      <c r="D32" t="s">
        <v>604</v>
      </c>
      <c r="E32" t="s">
        <v>570</v>
      </c>
      <c r="F32">
        <v>1233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</row>
    <row r="33" spans="1:14">
      <c r="A33" t="s">
        <v>133</v>
      </c>
      <c r="B33" t="s">
        <v>605</v>
      </c>
      <c r="C33" t="s">
        <v>553</v>
      </c>
      <c r="D33" t="s">
        <v>606</v>
      </c>
      <c r="E33" t="s">
        <v>570</v>
      </c>
      <c r="F33">
        <v>1868</v>
      </c>
      <c r="G33">
        <v>4</v>
      </c>
      <c r="H33">
        <v>1</v>
      </c>
      <c r="I33">
        <v>692</v>
      </c>
      <c r="J33">
        <v>1</v>
      </c>
      <c r="K33">
        <v>5</v>
      </c>
      <c r="L33">
        <v>0</v>
      </c>
      <c r="M33">
        <v>0</v>
      </c>
      <c r="N33">
        <v>1</v>
      </c>
    </row>
    <row r="34" spans="1:14">
      <c r="A34" t="s">
        <v>133</v>
      </c>
      <c r="B34" t="s">
        <v>607</v>
      </c>
      <c r="C34" t="s">
        <v>557</v>
      </c>
      <c r="I34">
        <v>0</v>
      </c>
      <c r="N34">
        <v>0</v>
      </c>
    </row>
    <row r="35" spans="1:14">
      <c r="A35" t="s">
        <v>133</v>
      </c>
      <c r="B35" t="s">
        <v>608</v>
      </c>
      <c r="C35" t="s">
        <v>575</v>
      </c>
      <c r="D35" t="s">
        <v>609</v>
      </c>
      <c r="E35" t="s">
        <v>610</v>
      </c>
      <c r="F35">
        <v>1895</v>
      </c>
      <c r="G35">
        <v>6</v>
      </c>
      <c r="H35">
        <v>4</v>
      </c>
      <c r="I35">
        <v>1234</v>
      </c>
      <c r="J35">
        <v>1</v>
      </c>
      <c r="K35">
        <v>10</v>
      </c>
      <c r="L35">
        <v>1</v>
      </c>
      <c r="M35">
        <v>0.47489999999999999</v>
      </c>
      <c r="N35">
        <v>0</v>
      </c>
    </row>
    <row r="36" spans="1:14">
      <c r="A36" t="s">
        <v>133</v>
      </c>
      <c r="B36" t="s">
        <v>611</v>
      </c>
      <c r="C36" t="s">
        <v>553</v>
      </c>
      <c r="D36" t="s">
        <v>609</v>
      </c>
      <c r="E36" t="s">
        <v>610</v>
      </c>
      <c r="F36">
        <v>1331</v>
      </c>
      <c r="G36">
        <v>2</v>
      </c>
      <c r="H36">
        <v>2</v>
      </c>
      <c r="I36">
        <v>700</v>
      </c>
      <c r="J36">
        <v>1</v>
      </c>
      <c r="K36">
        <v>4</v>
      </c>
      <c r="L36">
        <v>0</v>
      </c>
      <c r="M36">
        <v>0</v>
      </c>
      <c r="N36">
        <v>1</v>
      </c>
    </row>
    <row r="37" spans="1:14">
      <c r="A37" t="s">
        <v>133</v>
      </c>
      <c r="B37" t="s">
        <v>612</v>
      </c>
      <c r="C37" t="s">
        <v>553</v>
      </c>
      <c r="D37" t="s">
        <v>613</v>
      </c>
      <c r="E37" t="s">
        <v>561</v>
      </c>
      <c r="F37">
        <v>1310</v>
      </c>
      <c r="G37">
        <v>0</v>
      </c>
      <c r="H37">
        <v>3</v>
      </c>
      <c r="I37">
        <v>0</v>
      </c>
      <c r="J37">
        <v>1</v>
      </c>
      <c r="K37">
        <v>3</v>
      </c>
      <c r="L37">
        <v>0</v>
      </c>
      <c r="M37">
        <v>0</v>
      </c>
      <c r="N37">
        <v>0</v>
      </c>
    </row>
    <row r="38" spans="1:14">
      <c r="A38" t="s">
        <v>133</v>
      </c>
      <c r="B38" t="s">
        <v>614</v>
      </c>
      <c r="C38" t="s">
        <v>557</v>
      </c>
      <c r="I38">
        <v>0</v>
      </c>
      <c r="N38">
        <v>0</v>
      </c>
    </row>
    <row r="39" spans="1:14">
      <c r="A39" t="s">
        <v>133</v>
      </c>
      <c r="B39" t="s">
        <v>615</v>
      </c>
      <c r="C39" t="s">
        <v>575</v>
      </c>
      <c r="D39" t="s">
        <v>616</v>
      </c>
      <c r="E39" t="s">
        <v>566</v>
      </c>
      <c r="F39">
        <v>2159</v>
      </c>
      <c r="G39">
        <v>17</v>
      </c>
      <c r="H39">
        <v>6</v>
      </c>
      <c r="I39">
        <v>455</v>
      </c>
      <c r="J39">
        <v>1</v>
      </c>
      <c r="K39">
        <v>23</v>
      </c>
      <c r="L39">
        <v>1</v>
      </c>
      <c r="M39">
        <v>0.95879999999999999</v>
      </c>
      <c r="N39">
        <v>0</v>
      </c>
    </row>
    <row r="40" spans="1:14">
      <c r="A40" t="s">
        <v>133</v>
      </c>
      <c r="B40" t="s">
        <v>617</v>
      </c>
      <c r="C40" t="s">
        <v>553</v>
      </c>
      <c r="D40" t="s">
        <v>576</v>
      </c>
      <c r="E40" t="s">
        <v>561</v>
      </c>
      <c r="F40">
        <v>1365</v>
      </c>
      <c r="G40">
        <v>0</v>
      </c>
      <c r="H40">
        <v>1</v>
      </c>
      <c r="I40">
        <v>305</v>
      </c>
      <c r="J40">
        <v>1</v>
      </c>
      <c r="K40">
        <v>1</v>
      </c>
      <c r="L40">
        <v>0</v>
      </c>
      <c r="M40">
        <v>0</v>
      </c>
      <c r="N40">
        <v>1</v>
      </c>
    </row>
    <row r="41" spans="1:14">
      <c r="A41" t="s">
        <v>133</v>
      </c>
      <c r="B41" t="s">
        <v>618</v>
      </c>
      <c r="C41" t="s">
        <v>557</v>
      </c>
      <c r="D41" t="s">
        <v>609</v>
      </c>
      <c r="E41" t="s">
        <v>610</v>
      </c>
      <c r="F41">
        <v>1311</v>
      </c>
      <c r="G41">
        <v>3</v>
      </c>
      <c r="H41">
        <v>1</v>
      </c>
      <c r="I41">
        <v>177</v>
      </c>
      <c r="J41">
        <v>1</v>
      </c>
      <c r="K41">
        <v>4</v>
      </c>
      <c r="L41">
        <v>0</v>
      </c>
      <c r="M41">
        <v>0</v>
      </c>
      <c r="N41">
        <v>0</v>
      </c>
    </row>
    <row r="42" spans="1:14">
      <c r="A42" t="s">
        <v>133</v>
      </c>
      <c r="B42" t="s">
        <v>619</v>
      </c>
      <c r="C42" t="s">
        <v>553</v>
      </c>
      <c r="I42">
        <v>0</v>
      </c>
      <c r="N42">
        <v>0</v>
      </c>
    </row>
    <row r="43" spans="1:14">
      <c r="A43" t="s">
        <v>133</v>
      </c>
      <c r="B43" t="s">
        <v>620</v>
      </c>
      <c r="C43" t="s">
        <v>575</v>
      </c>
      <c r="D43" t="s">
        <v>609</v>
      </c>
      <c r="E43" t="s">
        <v>610</v>
      </c>
      <c r="F43">
        <v>2099</v>
      </c>
      <c r="G43">
        <v>4</v>
      </c>
      <c r="H43">
        <v>6</v>
      </c>
      <c r="I43">
        <v>1183</v>
      </c>
      <c r="J43">
        <v>1</v>
      </c>
      <c r="K43">
        <v>10</v>
      </c>
      <c r="L43">
        <v>1</v>
      </c>
      <c r="M43">
        <v>0.42880000000000001</v>
      </c>
      <c r="N43">
        <v>0</v>
      </c>
    </row>
    <row r="44" spans="1:14">
      <c r="A44" t="s">
        <v>133</v>
      </c>
      <c r="B44" t="s">
        <v>621</v>
      </c>
      <c r="C44" t="s">
        <v>557</v>
      </c>
      <c r="D44" t="s">
        <v>622</v>
      </c>
      <c r="E44" t="s">
        <v>623</v>
      </c>
      <c r="F44">
        <v>1467</v>
      </c>
      <c r="G44">
        <v>5</v>
      </c>
      <c r="H44">
        <v>0</v>
      </c>
      <c r="I44">
        <v>397</v>
      </c>
      <c r="J44">
        <v>1</v>
      </c>
      <c r="K44">
        <v>5</v>
      </c>
      <c r="L44">
        <v>0</v>
      </c>
      <c r="M44">
        <v>0</v>
      </c>
      <c r="N44">
        <v>0</v>
      </c>
    </row>
    <row r="45" spans="1:14">
      <c r="A45" t="s">
        <v>133</v>
      </c>
      <c r="B45" t="s">
        <v>624</v>
      </c>
      <c r="C45" t="s">
        <v>553</v>
      </c>
      <c r="I45">
        <v>900</v>
      </c>
      <c r="N45">
        <v>1</v>
      </c>
    </row>
    <row r="46" spans="1:14">
      <c r="A46" t="s">
        <v>133</v>
      </c>
      <c r="B46" t="s">
        <v>625</v>
      </c>
      <c r="C46" t="s">
        <v>553</v>
      </c>
      <c r="D46" t="s">
        <v>626</v>
      </c>
      <c r="E46" t="s">
        <v>570</v>
      </c>
      <c r="F46">
        <v>3288</v>
      </c>
      <c r="G46">
        <v>0</v>
      </c>
      <c r="H46">
        <v>5</v>
      </c>
      <c r="I46">
        <v>0</v>
      </c>
      <c r="J46">
        <v>1</v>
      </c>
      <c r="K46">
        <v>5</v>
      </c>
      <c r="L46">
        <v>0</v>
      </c>
      <c r="M46">
        <v>0</v>
      </c>
      <c r="N46">
        <v>0</v>
      </c>
    </row>
    <row r="47" spans="1:14">
      <c r="A47" t="s">
        <v>133</v>
      </c>
      <c r="B47" t="s">
        <v>627</v>
      </c>
      <c r="C47" t="s">
        <v>553</v>
      </c>
      <c r="D47" t="s">
        <v>563</v>
      </c>
      <c r="E47" t="s">
        <v>555</v>
      </c>
      <c r="F47">
        <v>1099</v>
      </c>
      <c r="G47">
        <v>0</v>
      </c>
      <c r="H47">
        <v>1</v>
      </c>
      <c r="I47">
        <v>333</v>
      </c>
      <c r="J47">
        <v>1</v>
      </c>
      <c r="K47">
        <v>1</v>
      </c>
      <c r="L47">
        <v>0</v>
      </c>
      <c r="M47">
        <v>0</v>
      </c>
      <c r="N47">
        <v>1</v>
      </c>
    </row>
    <row r="48" spans="1:14">
      <c r="A48" t="s">
        <v>133</v>
      </c>
      <c r="B48" t="s">
        <v>628</v>
      </c>
      <c r="C48" t="s">
        <v>557</v>
      </c>
      <c r="D48" t="s">
        <v>629</v>
      </c>
      <c r="E48" t="s">
        <v>566</v>
      </c>
      <c r="F48">
        <v>2878</v>
      </c>
      <c r="G48">
        <v>12</v>
      </c>
      <c r="H48">
        <v>6</v>
      </c>
      <c r="I48">
        <v>0</v>
      </c>
      <c r="J48">
        <v>1</v>
      </c>
      <c r="K48">
        <v>18</v>
      </c>
      <c r="L48">
        <v>0</v>
      </c>
      <c r="M48">
        <v>0</v>
      </c>
      <c r="N48">
        <v>0</v>
      </c>
    </row>
    <row r="49" spans="1:14">
      <c r="A49" t="s">
        <v>133</v>
      </c>
      <c r="B49" t="s">
        <v>630</v>
      </c>
      <c r="C49" t="s">
        <v>557</v>
      </c>
      <c r="D49" t="s">
        <v>631</v>
      </c>
      <c r="E49" t="s">
        <v>610</v>
      </c>
      <c r="F49">
        <v>1393</v>
      </c>
      <c r="G49">
        <v>2</v>
      </c>
      <c r="H49">
        <v>3</v>
      </c>
      <c r="I49">
        <v>0</v>
      </c>
      <c r="J49">
        <v>1</v>
      </c>
      <c r="K49">
        <v>5</v>
      </c>
      <c r="L49">
        <v>0</v>
      </c>
      <c r="M49">
        <v>0</v>
      </c>
      <c r="N49">
        <v>0</v>
      </c>
    </row>
    <row r="50" spans="1:14">
      <c r="A50" t="s">
        <v>133</v>
      </c>
      <c r="B50" t="s">
        <v>632</v>
      </c>
      <c r="C50" t="s">
        <v>553</v>
      </c>
      <c r="D50" t="s">
        <v>633</v>
      </c>
      <c r="E50" t="s">
        <v>561</v>
      </c>
      <c r="F50">
        <v>2168</v>
      </c>
      <c r="G50">
        <v>2</v>
      </c>
      <c r="H50">
        <v>4</v>
      </c>
      <c r="I50">
        <v>0</v>
      </c>
      <c r="J50">
        <v>1</v>
      </c>
      <c r="K50">
        <v>6</v>
      </c>
      <c r="L50">
        <v>0</v>
      </c>
      <c r="M50">
        <v>0</v>
      </c>
      <c r="N50">
        <v>0</v>
      </c>
    </row>
    <row r="51" spans="1:14">
      <c r="A51" t="s">
        <v>133</v>
      </c>
      <c r="B51" t="s">
        <v>634</v>
      </c>
      <c r="C51" t="s">
        <v>575</v>
      </c>
      <c r="I51">
        <v>0</v>
      </c>
      <c r="N51">
        <v>0</v>
      </c>
    </row>
    <row r="52" spans="1:14">
      <c r="A52" t="s">
        <v>133</v>
      </c>
      <c r="B52" t="s">
        <v>635</v>
      </c>
      <c r="C52" t="s">
        <v>572</v>
      </c>
      <c r="D52" t="s">
        <v>609</v>
      </c>
      <c r="E52" t="s">
        <v>610</v>
      </c>
      <c r="F52">
        <v>720</v>
      </c>
      <c r="G52">
        <v>0</v>
      </c>
      <c r="H52">
        <v>0</v>
      </c>
      <c r="I52">
        <v>360</v>
      </c>
      <c r="J52">
        <v>1</v>
      </c>
      <c r="K52">
        <v>0</v>
      </c>
      <c r="L52">
        <v>0</v>
      </c>
      <c r="M52">
        <v>0</v>
      </c>
      <c r="N52">
        <v>1</v>
      </c>
    </row>
    <row r="53" spans="1:14">
      <c r="A53" t="s">
        <v>133</v>
      </c>
      <c r="B53" t="s">
        <v>636</v>
      </c>
      <c r="C53" t="s">
        <v>572</v>
      </c>
      <c r="D53" t="s">
        <v>576</v>
      </c>
      <c r="E53" t="s">
        <v>561</v>
      </c>
      <c r="F53">
        <v>2610</v>
      </c>
      <c r="G53">
        <v>0</v>
      </c>
      <c r="H53">
        <v>0</v>
      </c>
      <c r="I53">
        <v>720</v>
      </c>
      <c r="J53">
        <v>1</v>
      </c>
      <c r="K53">
        <v>0</v>
      </c>
      <c r="L53">
        <v>0</v>
      </c>
      <c r="M53">
        <v>0</v>
      </c>
      <c r="N53">
        <v>1</v>
      </c>
    </row>
    <row r="54" spans="1:14">
      <c r="A54" t="s">
        <v>121</v>
      </c>
      <c r="B54" t="s">
        <v>637</v>
      </c>
      <c r="C54" t="s">
        <v>553</v>
      </c>
      <c r="D54" t="s">
        <v>638</v>
      </c>
      <c r="E54" t="s">
        <v>566</v>
      </c>
      <c r="F54">
        <v>2664</v>
      </c>
      <c r="G54">
        <v>1</v>
      </c>
      <c r="H54">
        <v>0</v>
      </c>
      <c r="I54">
        <v>0</v>
      </c>
      <c r="J54">
        <v>1</v>
      </c>
      <c r="K54">
        <v>1</v>
      </c>
      <c r="L54">
        <v>0</v>
      </c>
      <c r="M54">
        <v>0</v>
      </c>
      <c r="N54">
        <v>0</v>
      </c>
    </row>
    <row r="55" spans="1:14">
      <c r="A55" t="s">
        <v>121</v>
      </c>
      <c r="B55" t="s">
        <v>639</v>
      </c>
      <c r="C55" t="s">
        <v>553</v>
      </c>
      <c r="I55">
        <v>0</v>
      </c>
      <c r="N55">
        <v>0</v>
      </c>
    </row>
    <row r="56" spans="1:14">
      <c r="A56" t="s">
        <v>121</v>
      </c>
      <c r="B56" t="s">
        <v>640</v>
      </c>
      <c r="C56" t="s">
        <v>572</v>
      </c>
      <c r="I56">
        <v>0</v>
      </c>
      <c r="N56">
        <v>0</v>
      </c>
    </row>
    <row r="57" spans="1:14">
      <c r="A57" t="s">
        <v>121</v>
      </c>
      <c r="B57" t="s">
        <v>641</v>
      </c>
      <c r="C57" t="s">
        <v>557</v>
      </c>
      <c r="I57">
        <v>0</v>
      </c>
      <c r="N57">
        <v>0</v>
      </c>
    </row>
    <row r="58" spans="1:14">
      <c r="A58" t="s">
        <v>121</v>
      </c>
      <c r="B58" t="s">
        <v>642</v>
      </c>
      <c r="C58" t="s">
        <v>557</v>
      </c>
      <c r="I58">
        <v>0</v>
      </c>
      <c r="N58">
        <v>0</v>
      </c>
    </row>
    <row r="59" spans="1:14">
      <c r="A59" t="s">
        <v>121</v>
      </c>
      <c r="B59" t="s">
        <v>643</v>
      </c>
      <c r="C59" t="s">
        <v>557</v>
      </c>
      <c r="D59" t="s">
        <v>644</v>
      </c>
      <c r="E59" t="s">
        <v>555</v>
      </c>
      <c r="F59">
        <v>592</v>
      </c>
      <c r="G59">
        <v>0</v>
      </c>
      <c r="H59">
        <v>2</v>
      </c>
      <c r="I59">
        <v>0</v>
      </c>
      <c r="J59">
        <v>1</v>
      </c>
      <c r="K59">
        <v>2</v>
      </c>
      <c r="L59">
        <v>0</v>
      </c>
      <c r="M59">
        <v>0</v>
      </c>
      <c r="N59">
        <v>0</v>
      </c>
    </row>
    <row r="60" spans="1:14">
      <c r="A60" t="s">
        <v>121</v>
      </c>
      <c r="B60" t="s">
        <v>645</v>
      </c>
      <c r="C60" t="s">
        <v>575</v>
      </c>
      <c r="I60">
        <v>0</v>
      </c>
      <c r="N60">
        <v>0</v>
      </c>
    </row>
    <row r="61" spans="1:14">
      <c r="A61" t="s">
        <v>121</v>
      </c>
      <c r="B61" t="s">
        <v>646</v>
      </c>
      <c r="C61" t="s">
        <v>557</v>
      </c>
      <c r="D61" t="s">
        <v>644</v>
      </c>
      <c r="E61" t="s">
        <v>555</v>
      </c>
      <c r="F61">
        <v>1624</v>
      </c>
      <c r="G61">
        <v>0</v>
      </c>
      <c r="H61">
        <v>1</v>
      </c>
      <c r="I61">
        <v>0</v>
      </c>
      <c r="J61">
        <v>1</v>
      </c>
      <c r="K61">
        <v>1</v>
      </c>
      <c r="L61">
        <v>0</v>
      </c>
      <c r="M61">
        <v>0</v>
      </c>
      <c r="N61">
        <v>0</v>
      </c>
    </row>
    <row r="62" spans="1:14">
      <c r="A62" t="s">
        <v>121</v>
      </c>
      <c r="B62" t="s">
        <v>647</v>
      </c>
      <c r="C62" t="s">
        <v>557</v>
      </c>
      <c r="I62">
        <v>0</v>
      </c>
      <c r="N62">
        <v>0</v>
      </c>
    </row>
    <row r="63" spans="1:14">
      <c r="A63" t="s">
        <v>121</v>
      </c>
      <c r="B63" t="s">
        <v>648</v>
      </c>
      <c r="C63" t="s">
        <v>553</v>
      </c>
      <c r="I63">
        <v>0</v>
      </c>
      <c r="N63">
        <v>0</v>
      </c>
    </row>
    <row r="64" spans="1:14">
      <c r="A64" t="s">
        <v>121</v>
      </c>
      <c r="B64" t="s">
        <v>649</v>
      </c>
      <c r="C64" t="s">
        <v>557</v>
      </c>
      <c r="I64">
        <v>0</v>
      </c>
      <c r="N64">
        <v>0</v>
      </c>
    </row>
    <row r="65" spans="1:14">
      <c r="A65" t="s">
        <v>121</v>
      </c>
      <c r="B65" t="s">
        <v>650</v>
      </c>
      <c r="C65" t="s">
        <v>575</v>
      </c>
      <c r="I65">
        <v>0</v>
      </c>
      <c r="N65">
        <v>0</v>
      </c>
    </row>
    <row r="66" spans="1:14">
      <c r="A66" t="s">
        <v>121</v>
      </c>
      <c r="B66" t="s">
        <v>651</v>
      </c>
      <c r="C66" t="s">
        <v>553</v>
      </c>
      <c r="I66">
        <v>0</v>
      </c>
      <c r="N66">
        <v>0</v>
      </c>
    </row>
    <row r="67" spans="1:14">
      <c r="A67" t="s">
        <v>121</v>
      </c>
      <c r="B67" t="s">
        <v>652</v>
      </c>
      <c r="C67" t="s">
        <v>557</v>
      </c>
      <c r="D67" t="s">
        <v>653</v>
      </c>
      <c r="E67" t="s">
        <v>566</v>
      </c>
      <c r="F67">
        <v>1064</v>
      </c>
      <c r="G67">
        <v>2</v>
      </c>
      <c r="H67">
        <v>4</v>
      </c>
      <c r="I67">
        <v>0</v>
      </c>
      <c r="J67">
        <v>1</v>
      </c>
      <c r="K67">
        <v>6</v>
      </c>
      <c r="L67">
        <v>0</v>
      </c>
      <c r="M67">
        <v>0</v>
      </c>
      <c r="N67">
        <v>0</v>
      </c>
    </row>
    <row r="68" spans="1:14">
      <c r="A68" t="s">
        <v>121</v>
      </c>
      <c r="B68" t="s">
        <v>654</v>
      </c>
      <c r="C68" t="s">
        <v>553</v>
      </c>
      <c r="I68">
        <v>0</v>
      </c>
      <c r="N68">
        <v>0</v>
      </c>
    </row>
    <row r="69" spans="1:14">
      <c r="A69" t="s">
        <v>121</v>
      </c>
      <c r="B69" t="s">
        <v>655</v>
      </c>
      <c r="C69" t="s">
        <v>557</v>
      </c>
      <c r="I69">
        <v>0</v>
      </c>
      <c r="N69">
        <v>0</v>
      </c>
    </row>
    <row r="70" spans="1:14">
      <c r="A70" t="s">
        <v>121</v>
      </c>
      <c r="B70" t="s">
        <v>656</v>
      </c>
      <c r="C70" t="s">
        <v>557</v>
      </c>
      <c r="I70">
        <v>0</v>
      </c>
      <c r="N70">
        <v>0</v>
      </c>
    </row>
    <row r="71" spans="1:14">
      <c r="A71" t="s">
        <v>121</v>
      </c>
      <c r="B71" t="s">
        <v>657</v>
      </c>
      <c r="C71" t="s">
        <v>557</v>
      </c>
      <c r="I71">
        <v>0</v>
      </c>
      <c r="N71">
        <v>0</v>
      </c>
    </row>
    <row r="72" spans="1:14">
      <c r="A72" t="s">
        <v>121</v>
      </c>
      <c r="B72" t="s">
        <v>658</v>
      </c>
      <c r="C72" t="s">
        <v>553</v>
      </c>
      <c r="I72">
        <v>0</v>
      </c>
      <c r="N72">
        <v>0</v>
      </c>
    </row>
    <row r="73" spans="1:14">
      <c r="A73" t="s">
        <v>121</v>
      </c>
      <c r="B73" t="s">
        <v>659</v>
      </c>
      <c r="C73" t="s">
        <v>553</v>
      </c>
      <c r="I73">
        <v>0</v>
      </c>
      <c r="N73">
        <v>0</v>
      </c>
    </row>
    <row r="74" spans="1:14">
      <c r="A74" t="s">
        <v>121</v>
      </c>
      <c r="B74" t="s">
        <v>660</v>
      </c>
      <c r="C74" t="s">
        <v>575</v>
      </c>
      <c r="I74">
        <v>0</v>
      </c>
      <c r="N74">
        <v>0</v>
      </c>
    </row>
    <row r="75" spans="1:14">
      <c r="A75" t="s">
        <v>121</v>
      </c>
      <c r="B75" t="s">
        <v>661</v>
      </c>
      <c r="C75" t="s">
        <v>575</v>
      </c>
      <c r="I75">
        <v>0</v>
      </c>
      <c r="N75">
        <v>0</v>
      </c>
    </row>
    <row r="76" spans="1:14">
      <c r="A76" t="s">
        <v>121</v>
      </c>
      <c r="B76" t="s">
        <v>662</v>
      </c>
      <c r="C76" t="s">
        <v>572</v>
      </c>
      <c r="D76" t="s">
        <v>663</v>
      </c>
      <c r="E76" t="s">
        <v>610</v>
      </c>
      <c r="F76">
        <v>3240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</row>
    <row r="77" spans="1:14">
      <c r="A77" t="s">
        <v>121</v>
      </c>
      <c r="B77" t="s">
        <v>664</v>
      </c>
      <c r="C77" t="s">
        <v>553</v>
      </c>
      <c r="I77">
        <v>0</v>
      </c>
      <c r="N77">
        <v>0</v>
      </c>
    </row>
    <row r="78" spans="1:14">
      <c r="A78" t="s">
        <v>121</v>
      </c>
      <c r="B78" t="s">
        <v>665</v>
      </c>
      <c r="C78" t="s">
        <v>557</v>
      </c>
      <c r="I78">
        <v>0</v>
      </c>
      <c r="N78">
        <v>0</v>
      </c>
    </row>
    <row r="79" spans="1:14">
      <c r="A79" t="s">
        <v>121</v>
      </c>
      <c r="B79" t="s">
        <v>666</v>
      </c>
      <c r="C79" t="s">
        <v>572</v>
      </c>
      <c r="I79">
        <v>0</v>
      </c>
      <c r="N79">
        <v>0</v>
      </c>
    </row>
    <row r="80" spans="1:14">
      <c r="A80" t="s">
        <v>134</v>
      </c>
      <c r="B80" t="s">
        <v>667</v>
      </c>
      <c r="C80" t="s">
        <v>557</v>
      </c>
      <c r="D80" t="s">
        <v>668</v>
      </c>
      <c r="E80" t="s">
        <v>555</v>
      </c>
      <c r="F80">
        <v>1994</v>
      </c>
      <c r="G80">
        <v>3</v>
      </c>
      <c r="H80">
        <v>9</v>
      </c>
      <c r="I80">
        <v>851</v>
      </c>
      <c r="J80">
        <v>1</v>
      </c>
      <c r="K80">
        <v>12</v>
      </c>
      <c r="L80">
        <v>0</v>
      </c>
      <c r="M80">
        <v>0</v>
      </c>
      <c r="N80">
        <v>0</v>
      </c>
    </row>
    <row r="81" spans="1:14">
      <c r="A81" t="s">
        <v>134</v>
      </c>
      <c r="B81" t="s">
        <v>669</v>
      </c>
      <c r="C81" t="s">
        <v>557</v>
      </c>
      <c r="D81" t="s">
        <v>554</v>
      </c>
      <c r="E81" t="s">
        <v>555</v>
      </c>
      <c r="F81">
        <v>1817</v>
      </c>
      <c r="G81">
        <v>1</v>
      </c>
      <c r="H81">
        <v>2</v>
      </c>
      <c r="I81">
        <v>344</v>
      </c>
      <c r="J81">
        <v>1</v>
      </c>
      <c r="K81">
        <v>3</v>
      </c>
      <c r="L81">
        <v>0</v>
      </c>
      <c r="M81">
        <v>0</v>
      </c>
      <c r="N81">
        <v>0</v>
      </c>
    </row>
    <row r="82" spans="1:14">
      <c r="A82" t="s">
        <v>134</v>
      </c>
      <c r="B82" t="s">
        <v>670</v>
      </c>
      <c r="C82" t="s">
        <v>572</v>
      </c>
      <c r="I82">
        <v>0</v>
      </c>
      <c r="N82">
        <v>0</v>
      </c>
    </row>
    <row r="83" spans="1:14">
      <c r="A83" t="s">
        <v>134</v>
      </c>
      <c r="B83" t="s">
        <v>671</v>
      </c>
      <c r="C83" t="s">
        <v>553</v>
      </c>
      <c r="D83" t="s">
        <v>672</v>
      </c>
      <c r="E83" t="s">
        <v>673</v>
      </c>
      <c r="F83">
        <v>1788</v>
      </c>
      <c r="G83">
        <v>1</v>
      </c>
      <c r="H83">
        <v>0</v>
      </c>
      <c r="I83">
        <v>0</v>
      </c>
      <c r="J83">
        <v>1</v>
      </c>
      <c r="K83">
        <v>1</v>
      </c>
      <c r="L83">
        <v>0</v>
      </c>
      <c r="M83">
        <v>0</v>
      </c>
      <c r="N83">
        <v>0</v>
      </c>
    </row>
    <row r="84" spans="1:14">
      <c r="A84" t="s">
        <v>134</v>
      </c>
      <c r="B84" t="s">
        <v>674</v>
      </c>
      <c r="C84" t="s">
        <v>557</v>
      </c>
      <c r="D84" t="s">
        <v>675</v>
      </c>
      <c r="E84" t="s">
        <v>555</v>
      </c>
      <c r="F84">
        <v>2694</v>
      </c>
      <c r="G84">
        <v>0</v>
      </c>
      <c r="H84">
        <v>2</v>
      </c>
      <c r="I84">
        <v>0</v>
      </c>
      <c r="J84">
        <v>1</v>
      </c>
      <c r="K84">
        <v>2</v>
      </c>
      <c r="L84">
        <v>0</v>
      </c>
      <c r="M84">
        <v>0</v>
      </c>
      <c r="N84">
        <v>0</v>
      </c>
    </row>
    <row r="85" spans="1:14">
      <c r="A85" t="s">
        <v>134</v>
      </c>
      <c r="B85" t="s">
        <v>676</v>
      </c>
      <c r="C85" t="s">
        <v>553</v>
      </c>
      <c r="D85" t="s">
        <v>677</v>
      </c>
      <c r="E85" t="s">
        <v>610</v>
      </c>
      <c r="F85">
        <v>424</v>
      </c>
      <c r="G85">
        <v>0</v>
      </c>
      <c r="H85">
        <v>0</v>
      </c>
      <c r="I85">
        <v>116</v>
      </c>
      <c r="J85">
        <v>1</v>
      </c>
      <c r="K85">
        <v>0</v>
      </c>
      <c r="L85">
        <v>0</v>
      </c>
      <c r="M85">
        <v>0</v>
      </c>
      <c r="N85">
        <v>1</v>
      </c>
    </row>
    <row r="86" spans="1:14">
      <c r="A86" t="s">
        <v>134</v>
      </c>
      <c r="B86" t="s">
        <v>678</v>
      </c>
      <c r="C86" t="s">
        <v>557</v>
      </c>
      <c r="D86" t="s">
        <v>679</v>
      </c>
      <c r="E86" t="s">
        <v>555</v>
      </c>
      <c r="F86">
        <v>2982</v>
      </c>
      <c r="G86">
        <v>1</v>
      </c>
      <c r="H86">
        <v>8</v>
      </c>
      <c r="I86">
        <v>0</v>
      </c>
      <c r="J86">
        <v>1</v>
      </c>
      <c r="K86">
        <v>9</v>
      </c>
      <c r="L86">
        <v>0</v>
      </c>
      <c r="M86">
        <v>0</v>
      </c>
      <c r="N86">
        <v>0</v>
      </c>
    </row>
    <row r="87" spans="1:14">
      <c r="A87" t="s">
        <v>134</v>
      </c>
      <c r="B87" t="s">
        <v>680</v>
      </c>
      <c r="C87" t="s">
        <v>557</v>
      </c>
      <c r="D87" t="s">
        <v>675</v>
      </c>
      <c r="E87" t="s">
        <v>555</v>
      </c>
      <c r="F87">
        <v>1837</v>
      </c>
      <c r="G87">
        <v>3</v>
      </c>
      <c r="H87">
        <v>1</v>
      </c>
      <c r="I87">
        <v>0</v>
      </c>
      <c r="J87">
        <v>1</v>
      </c>
      <c r="K87">
        <v>4</v>
      </c>
      <c r="L87">
        <v>0</v>
      </c>
      <c r="M87">
        <v>0</v>
      </c>
      <c r="N87">
        <v>0</v>
      </c>
    </row>
    <row r="88" spans="1:14">
      <c r="A88" t="s">
        <v>134</v>
      </c>
      <c r="B88" t="s">
        <v>681</v>
      </c>
      <c r="C88" t="s">
        <v>553</v>
      </c>
      <c r="D88" t="s">
        <v>606</v>
      </c>
      <c r="E88" t="s">
        <v>570</v>
      </c>
      <c r="F88">
        <v>1494</v>
      </c>
      <c r="G88">
        <v>0</v>
      </c>
      <c r="H88">
        <v>0</v>
      </c>
      <c r="I88">
        <v>479</v>
      </c>
      <c r="J88">
        <v>1</v>
      </c>
      <c r="K88">
        <v>0</v>
      </c>
      <c r="L88">
        <v>0</v>
      </c>
      <c r="M88">
        <v>0</v>
      </c>
      <c r="N88">
        <v>1</v>
      </c>
    </row>
    <row r="89" spans="1:14">
      <c r="A89" t="s">
        <v>134</v>
      </c>
      <c r="B89" t="s">
        <v>682</v>
      </c>
      <c r="C89" t="s">
        <v>557</v>
      </c>
      <c r="I89">
        <v>281</v>
      </c>
      <c r="N89">
        <v>0</v>
      </c>
    </row>
    <row r="90" spans="1:14">
      <c r="A90" t="s">
        <v>134</v>
      </c>
      <c r="B90" t="s">
        <v>683</v>
      </c>
      <c r="C90" t="s">
        <v>575</v>
      </c>
      <c r="D90" t="s">
        <v>684</v>
      </c>
      <c r="E90" t="s">
        <v>555</v>
      </c>
      <c r="F90">
        <v>913</v>
      </c>
      <c r="G90">
        <v>5</v>
      </c>
      <c r="H90">
        <v>2</v>
      </c>
      <c r="I90">
        <v>0</v>
      </c>
      <c r="J90">
        <v>1</v>
      </c>
      <c r="K90">
        <v>7</v>
      </c>
      <c r="L90">
        <v>1</v>
      </c>
      <c r="M90">
        <v>0.69</v>
      </c>
      <c r="N90">
        <v>0</v>
      </c>
    </row>
    <row r="91" spans="1:14">
      <c r="A91" t="s">
        <v>134</v>
      </c>
      <c r="B91" t="s">
        <v>685</v>
      </c>
      <c r="C91" t="s">
        <v>553</v>
      </c>
      <c r="D91" t="s">
        <v>686</v>
      </c>
      <c r="E91" t="s">
        <v>555</v>
      </c>
      <c r="F91">
        <v>1302</v>
      </c>
      <c r="G91">
        <v>1</v>
      </c>
      <c r="H91">
        <v>0</v>
      </c>
      <c r="I91">
        <v>0</v>
      </c>
      <c r="J91">
        <v>1</v>
      </c>
      <c r="K91">
        <v>1</v>
      </c>
      <c r="L91">
        <v>0</v>
      </c>
      <c r="M91">
        <v>0</v>
      </c>
      <c r="N91">
        <v>0</v>
      </c>
    </row>
    <row r="92" spans="1:14">
      <c r="A92" t="s">
        <v>134</v>
      </c>
      <c r="B92" t="s">
        <v>687</v>
      </c>
      <c r="C92" t="s">
        <v>553</v>
      </c>
      <c r="D92" t="s">
        <v>688</v>
      </c>
      <c r="E92" t="s">
        <v>555</v>
      </c>
      <c r="F92">
        <v>2069</v>
      </c>
      <c r="G92">
        <v>1</v>
      </c>
      <c r="H92">
        <v>2</v>
      </c>
      <c r="I92">
        <v>0</v>
      </c>
      <c r="J92">
        <v>1</v>
      </c>
      <c r="K92">
        <v>3</v>
      </c>
      <c r="L92">
        <v>0</v>
      </c>
      <c r="M92">
        <v>0</v>
      </c>
      <c r="N92">
        <v>0</v>
      </c>
    </row>
    <row r="93" spans="1:14">
      <c r="A93" t="s">
        <v>134</v>
      </c>
      <c r="B93" t="s">
        <v>689</v>
      </c>
      <c r="C93" t="s">
        <v>575</v>
      </c>
      <c r="I93">
        <v>0</v>
      </c>
      <c r="N93">
        <v>0</v>
      </c>
    </row>
    <row r="94" spans="1:14">
      <c r="A94" t="s">
        <v>134</v>
      </c>
      <c r="B94" t="s">
        <v>690</v>
      </c>
      <c r="C94" t="s">
        <v>575</v>
      </c>
      <c r="D94" t="s">
        <v>691</v>
      </c>
      <c r="E94" t="s">
        <v>570</v>
      </c>
      <c r="F94">
        <v>15</v>
      </c>
      <c r="G94">
        <v>0</v>
      </c>
      <c r="H94">
        <v>0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</row>
    <row r="95" spans="1:14">
      <c r="A95" t="s">
        <v>134</v>
      </c>
      <c r="B95" t="s">
        <v>692</v>
      </c>
      <c r="C95" t="s">
        <v>553</v>
      </c>
      <c r="I95">
        <v>0</v>
      </c>
      <c r="N95">
        <v>0</v>
      </c>
    </row>
    <row r="96" spans="1:14">
      <c r="A96" t="s">
        <v>134</v>
      </c>
      <c r="B96" t="s">
        <v>693</v>
      </c>
      <c r="C96" t="s">
        <v>557</v>
      </c>
      <c r="D96" t="s">
        <v>554</v>
      </c>
      <c r="E96" t="s">
        <v>555</v>
      </c>
      <c r="F96">
        <v>919</v>
      </c>
      <c r="G96">
        <v>2</v>
      </c>
      <c r="H96">
        <v>0</v>
      </c>
      <c r="I96">
        <v>227</v>
      </c>
      <c r="J96">
        <v>1</v>
      </c>
      <c r="K96">
        <v>2</v>
      </c>
      <c r="L96">
        <v>0</v>
      </c>
      <c r="M96">
        <v>0</v>
      </c>
      <c r="N96">
        <v>0</v>
      </c>
    </row>
    <row r="97" spans="1:14">
      <c r="A97" t="s">
        <v>134</v>
      </c>
      <c r="B97" t="s">
        <v>694</v>
      </c>
      <c r="C97" t="s">
        <v>553</v>
      </c>
      <c r="D97" t="s">
        <v>695</v>
      </c>
      <c r="E97" t="s">
        <v>555</v>
      </c>
      <c r="F97">
        <v>1308</v>
      </c>
      <c r="G97">
        <v>3</v>
      </c>
      <c r="H97">
        <v>2</v>
      </c>
      <c r="I97">
        <v>0</v>
      </c>
      <c r="J97">
        <v>1</v>
      </c>
      <c r="K97">
        <v>5</v>
      </c>
      <c r="L97">
        <v>0</v>
      </c>
      <c r="M97">
        <v>0</v>
      </c>
      <c r="N97">
        <v>0</v>
      </c>
    </row>
    <row r="98" spans="1:14">
      <c r="A98" t="s">
        <v>134</v>
      </c>
      <c r="B98" t="s">
        <v>696</v>
      </c>
      <c r="C98" t="s">
        <v>553</v>
      </c>
      <c r="D98" t="s">
        <v>679</v>
      </c>
      <c r="E98" t="s">
        <v>555</v>
      </c>
      <c r="F98">
        <v>2546</v>
      </c>
      <c r="G98">
        <v>1</v>
      </c>
      <c r="H98">
        <v>0</v>
      </c>
      <c r="I98">
        <v>0</v>
      </c>
      <c r="J98">
        <v>1</v>
      </c>
      <c r="K98">
        <v>1</v>
      </c>
      <c r="L98">
        <v>0</v>
      </c>
      <c r="M98">
        <v>0</v>
      </c>
      <c r="N98">
        <v>0</v>
      </c>
    </row>
    <row r="99" spans="1:14">
      <c r="A99" t="s">
        <v>134</v>
      </c>
      <c r="B99" t="s">
        <v>697</v>
      </c>
      <c r="C99" t="s">
        <v>575</v>
      </c>
      <c r="D99" t="s">
        <v>586</v>
      </c>
      <c r="E99" t="s">
        <v>555</v>
      </c>
      <c r="F99">
        <v>1621</v>
      </c>
      <c r="G99">
        <v>4</v>
      </c>
      <c r="H99">
        <v>3</v>
      </c>
      <c r="I99">
        <v>0</v>
      </c>
      <c r="J99">
        <v>1</v>
      </c>
      <c r="K99">
        <v>7</v>
      </c>
      <c r="L99">
        <v>1</v>
      </c>
      <c r="M99">
        <v>0.3886</v>
      </c>
      <c r="N99">
        <v>0</v>
      </c>
    </row>
    <row r="100" spans="1:14">
      <c r="A100" t="s">
        <v>134</v>
      </c>
      <c r="B100" t="s">
        <v>698</v>
      </c>
      <c r="C100" t="s">
        <v>553</v>
      </c>
      <c r="D100" t="s">
        <v>699</v>
      </c>
      <c r="E100" t="s">
        <v>610</v>
      </c>
      <c r="F100">
        <v>2949</v>
      </c>
      <c r="G100">
        <v>1</v>
      </c>
      <c r="H100">
        <v>1</v>
      </c>
      <c r="I100">
        <v>0</v>
      </c>
      <c r="J100">
        <v>1</v>
      </c>
      <c r="K100">
        <v>2</v>
      </c>
      <c r="L100">
        <v>0</v>
      </c>
      <c r="M100">
        <v>0</v>
      </c>
      <c r="N100">
        <v>0</v>
      </c>
    </row>
    <row r="101" spans="1:14">
      <c r="A101" t="s">
        <v>134</v>
      </c>
      <c r="B101" t="s">
        <v>700</v>
      </c>
      <c r="C101" t="s">
        <v>557</v>
      </c>
      <c r="I101">
        <v>0</v>
      </c>
      <c r="N101">
        <v>0</v>
      </c>
    </row>
    <row r="102" spans="1:14">
      <c r="A102" t="s">
        <v>134</v>
      </c>
      <c r="B102" t="s">
        <v>701</v>
      </c>
      <c r="C102" t="s">
        <v>572</v>
      </c>
      <c r="I102">
        <v>0</v>
      </c>
      <c r="N102">
        <v>0</v>
      </c>
    </row>
    <row r="103" spans="1:14">
      <c r="A103" t="s">
        <v>134</v>
      </c>
      <c r="B103" t="s">
        <v>702</v>
      </c>
      <c r="C103" t="s">
        <v>557</v>
      </c>
      <c r="I103">
        <v>0</v>
      </c>
      <c r="N103">
        <v>0</v>
      </c>
    </row>
    <row r="104" spans="1:14">
      <c r="A104" t="s">
        <v>134</v>
      </c>
      <c r="B104" t="s">
        <v>703</v>
      </c>
      <c r="C104" t="s">
        <v>553</v>
      </c>
      <c r="I104">
        <v>0</v>
      </c>
      <c r="N104">
        <v>0</v>
      </c>
    </row>
    <row r="105" spans="1:14">
      <c r="A105" t="s">
        <v>134</v>
      </c>
      <c r="B105" t="s">
        <v>704</v>
      </c>
      <c r="C105" t="s">
        <v>572</v>
      </c>
      <c r="I105">
        <v>0</v>
      </c>
      <c r="N105">
        <v>0</v>
      </c>
    </row>
    <row r="106" spans="1:14">
      <c r="A106" t="s">
        <v>127</v>
      </c>
      <c r="B106" t="s">
        <v>705</v>
      </c>
      <c r="C106" t="s">
        <v>553</v>
      </c>
      <c r="I106">
        <v>897</v>
      </c>
      <c r="N106">
        <v>1</v>
      </c>
    </row>
    <row r="107" spans="1:14">
      <c r="A107" t="s">
        <v>127</v>
      </c>
      <c r="B107" t="s">
        <v>706</v>
      </c>
      <c r="C107" t="s">
        <v>572</v>
      </c>
      <c r="D107" t="s">
        <v>677</v>
      </c>
      <c r="E107" t="s">
        <v>610</v>
      </c>
      <c r="F107">
        <v>2880</v>
      </c>
      <c r="G107">
        <v>0</v>
      </c>
      <c r="H107">
        <v>0</v>
      </c>
      <c r="I107">
        <v>945</v>
      </c>
      <c r="J107">
        <v>1</v>
      </c>
      <c r="K107">
        <v>0</v>
      </c>
      <c r="L107">
        <v>0</v>
      </c>
      <c r="M107">
        <v>0</v>
      </c>
      <c r="N107">
        <v>1</v>
      </c>
    </row>
    <row r="108" spans="1:14">
      <c r="A108" t="s">
        <v>127</v>
      </c>
      <c r="B108" t="s">
        <v>707</v>
      </c>
      <c r="C108" t="s">
        <v>557</v>
      </c>
      <c r="D108" t="s">
        <v>708</v>
      </c>
      <c r="E108" t="s">
        <v>570</v>
      </c>
      <c r="F108">
        <v>2000</v>
      </c>
      <c r="G108">
        <v>6</v>
      </c>
      <c r="H108">
        <v>6</v>
      </c>
      <c r="I108">
        <v>627</v>
      </c>
      <c r="J108">
        <v>1</v>
      </c>
      <c r="K108">
        <v>12</v>
      </c>
      <c r="L108">
        <v>0</v>
      </c>
      <c r="M108">
        <v>0</v>
      </c>
      <c r="N108">
        <v>0</v>
      </c>
    </row>
    <row r="109" spans="1:14">
      <c r="A109" t="s">
        <v>127</v>
      </c>
      <c r="B109" t="s">
        <v>709</v>
      </c>
      <c r="C109" t="s">
        <v>553</v>
      </c>
      <c r="D109" t="s">
        <v>710</v>
      </c>
      <c r="E109" t="s">
        <v>570</v>
      </c>
      <c r="F109">
        <v>1845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127</v>
      </c>
      <c r="B110" t="s">
        <v>711</v>
      </c>
      <c r="C110" t="s">
        <v>557</v>
      </c>
      <c r="D110" t="s">
        <v>597</v>
      </c>
      <c r="E110" t="s">
        <v>570</v>
      </c>
      <c r="F110">
        <v>1862</v>
      </c>
      <c r="G110">
        <v>0</v>
      </c>
      <c r="H110">
        <v>4</v>
      </c>
      <c r="I110">
        <v>0</v>
      </c>
      <c r="J110">
        <v>1</v>
      </c>
      <c r="K110">
        <v>4</v>
      </c>
      <c r="L110">
        <v>0</v>
      </c>
      <c r="M110">
        <v>0</v>
      </c>
      <c r="N110">
        <v>0</v>
      </c>
    </row>
    <row r="111" spans="1:14">
      <c r="A111" t="s">
        <v>127</v>
      </c>
      <c r="B111" t="s">
        <v>712</v>
      </c>
      <c r="C111" t="s">
        <v>553</v>
      </c>
      <c r="D111" t="s">
        <v>713</v>
      </c>
      <c r="E111" t="s">
        <v>570</v>
      </c>
      <c r="F111">
        <v>1414</v>
      </c>
      <c r="G111">
        <v>2</v>
      </c>
      <c r="H111">
        <v>3</v>
      </c>
      <c r="I111">
        <v>0</v>
      </c>
      <c r="J111">
        <v>1</v>
      </c>
      <c r="K111">
        <v>5</v>
      </c>
      <c r="L111">
        <v>0</v>
      </c>
      <c r="M111">
        <v>0</v>
      </c>
      <c r="N111">
        <v>0</v>
      </c>
    </row>
    <row r="112" spans="1:14">
      <c r="A112" t="s">
        <v>127</v>
      </c>
      <c r="B112" t="s">
        <v>714</v>
      </c>
      <c r="C112" t="s">
        <v>557</v>
      </c>
      <c r="D112" t="s">
        <v>715</v>
      </c>
      <c r="E112" t="s">
        <v>566</v>
      </c>
      <c r="F112">
        <v>1165</v>
      </c>
      <c r="G112">
        <v>2</v>
      </c>
      <c r="H112">
        <v>2</v>
      </c>
      <c r="I112">
        <v>188</v>
      </c>
      <c r="J112">
        <v>1</v>
      </c>
      <c r="K112">
        <v>4</v>
      </c>
      <c r="L112">
        <v>0</v>
      </c>
      <c r="M112">
        <v>0</v>
      </c>
      <c r="N112">
        <v>0</v>
      </c>
    </row>
    <row r="113" spans="1:14">
      <c r="A113" t="s">
        <v>127</v>
      </c>
      <c r="B113" t="s">
        <v>716</v>
      </c>
      <c r="C113" t="s">
        <v>575</v>
      </c>
      <c r="D113" t="s">
        <v>717</v>
      </c>
      <c r="E113" t="s">
        <v>566</v>
      </c>
      <c r="F113">
        <v>2177</v>
      </c>
      <c r="G113">
        <v>3</v>
      </c>
      <c r="H113">
        <v>5</v>
      </c>
      <c r="I113">
        <v>583</v>
      </c>
      <c r="J113">
        <v>1</v>
      </c>
      <c r="K113">
        <v>8</v>
      </c>
      <c r="L113">
        <v>1</v>
      </c>
      <c r="M113">
        <v>0.33069999999999999</v>
      </c>
      <c r="N113">
        <v>0</v>
      </c>
    </row>
    <row r="114" spans="1:14">
      <c r="A114" t="s">
        <v>127</v>
      </c>
      <c r="B114" t="s">
        <v>718</v>
      </c>
      <c r="C114" t="s">
        <v>553</v>
      </c>
      <c r="D114" t="s">
        <v>560</v>
      </c>
      <c r="E114" t="s">
        <v>561</v>
      </c>
      <c r="F114">
        <v>2405</v>
      </c>
      <c r="G114">
        <v>1</v>
      </c>
      <c r="H114">
        <v>2</v>
      </c>
      <c r="I114">
        <v>0</v>
      </c>
      <c r="J114">
        <v>1</v>
      </c>
      <c r="K114">
        <v>3</v>
      </c>
      <c r="L114">
        <v>0</v>
      </c>
      <c r="M114">
        <v>0</v>
      </c>
      <c r="N114">
        <v>0</v>
      </c>
    </row>
    <row r="115" spans="1:14">
      <c r="A115" t="s">
        <v>127</v>
      </c>
      <c r="B115" t="s">
        <v>719</v>
      </c>
      <c r="C115" t="s">
        <v>557</v>
      </c>
      <c r="D115" t="s">
        <v>569</v>
      </c>
      <c r="E115" t="s">
        <v>570</v>
      </c>
      <c r="F115">
        <v>1784</v>
      </c>
      <c r="G115">
        <v>5</v>
      </c>
      <c r="H115">
        <v>5</v>
      </c>
      <c r="I115">
        <v>625</v>
      </c>
      <c r="J115">
        <v>1</v>
      </c>
      <c r="K115">
        <v>10</v>
      </c>
      <c r="L115">
        <v>0</v>
      </c>
      <c r="M115">
        <v>0</v>
      </c>
      <c r="N115">
        <v>0</v>
      </c>
    </row>
    <row r="116" spans="1:14">
      <c r="A116" t="s">
        <v>127</v>
      </c>
      <c r="B116" t="s">
        <v>720</v>
      </c>
      <c r="C116" t="s">
        <v>557</v>
      </c>
      <c r="I116">
        <v>0</v>
      </c>
      <c r="N116">
        <v>0</v>
      </c>
    </row>
    <row r="117" spans="1:14">
      <c r="A117" t="s">
        <v>127</v>
      </c>
      <c r="B117" t="s">
        <v>721</v>
      </c>
      <c r="C117" t="s">
        <v>557</v>
      </c>
      <c r="I117">
        <v>900</v>
      </c>
      <c r="N117">
        <v>0</v>
      </c>
    </row>
    <row r="118" spans="1:14">
      <c r="A118" t="s">
        <v>127</v>
      </c>
      <c r="B118" t="s">
        <v>722</v>
      </c>
      <c r="C118" t="s">
        <v>553</v>
      </c>
      <c r="D118" t="s">
        <v>558</v>
      </c>
      <c r="E118" t="s">
        <v>555</v>
      </c>
      <c r="F118">
        <v>2141</v>
      </c>
      <c r="G118">
        <v>1</v>
      </c>
      <c r="H118">
        <v>0</v>
      </c>
      <c r="I118">
        <v>720</v>
      </c>
      <c r="J118">
        <v>1</v>
      </c>
      <c r="K118">
        <v>1</v>
      </c>
      <c r="L118">
        <v>0</v>
      </c>
      <c r="M118">
        <v>0</v>
      </c>
      <c r="N118">
        <v>1</v>
      </c>
    </row>
    <row r="119" spans="1:14">
      <c r="A119" t="s">
        <v>127</v>
      </c>
      <c r="B119" t="s">
        <v>723</v>
      </c>
      <c r="C119" t="s">
        <v>553</v>
      </c>
      <c r="D119" t="s">
        <v>560</v>
      </c>
      <c r="E119" t="s">
        <v>561</v>
      </c>
      <c r="F119">
        <v>1909</v>
      </c>
      <c r="G119">
        <v>2</v>
      </c>
      <c r="H119">
        <v>2</v>
      </c>
      <c r="I119">
        <v>0</v>
      </c>
      <c r="J119">
        <v>1</v>
      </c>
      <c r="K119">
        <v>4</v>
      </c>
      <c r="L119">
        <v>0</v>
      </c>
      <c r="M119">
        <v>0</v>
      </c>
      <c r="N119">
        <v>0</v>
      </c>
    </row>
    <row r="120" spans="1:14">
      <c r="A120" t="s">
        <v>127</v>
      </c>
      <c r="B120" t="s">
        <v>724</v>
      </c>
      <c r="C120" t="s">
        <v>557</v>
      </c>
      <c r="D120" t="s">
        <v>597</v>
      </c>
      <c r="E120" t="s">
        <v>570</v>
      </c>
      <c r="F120">
        <v>1758</v>
      </c>
      <c r="G120">
        <v>2</v>
      </c>
      <c r="H120">
        <v>0</v>
      </c>
      <c r="I120">
        <v>0</v>
      </c>
      <c r="J120">
        <v>1</v>
      </c>
      <c r="K120">
        <v>2</v>
      </c>
      <c r="L120">
        <v>0</v>
      </c>
      <c r="M120">
        <v>0</v>
      </c>
      <c r="N120">
        <v>0</v>
      </c>
    </row>
    <row r="121" spans="1:14">
      <c r="A121" t="s">
        <v>127</v>
      </c>
      <c r="B121" t="s">
        <v>725</v>
      </c>
      <c r="C121" t="s">
        <v>575</v>
      </c>
      <c r="D121" t="s">
        <v>715</v>
      </c>
      <c r="E121" t="s">
        <v>566</v>
      </c>
      <c r="F121">
        <v>44</v>
      </c>
      <c r="G121">
        <v>1</v>
      </c>
      <c r="H121">
        <v>0</v>
      </c>
      <c r="I121">
        <v>9</v>
      </c>
      <c r="J121">
        <v>1</v>
      </c>
      <c r="K121">
        <v>1</v>
      </c>
      <c r="L121">
        <v>0</v>
      </c>
      <c r="M121">
        <v>0</v>
      </c>
      <c r="N121">
        <v>0</v>
      </c>
    </row>
    <row r="122" spans="1:14">
      <c r="A122" t="s">
        <v>127</v>
      </c>
      <c r="B122" t="s">
        <v>726</v>
      </c>
      <c r="C122" t="s">
        <v>557</v>
      </c>
      <c r="D122" t="s">
        <v>727</v>
      </c>
      <c r="E122" t="s">
        <v>610</v>
      </c>
      <c r="F122">
        <v>180</v>
      </c>
      <c r="G122">
        <v>1</v>
      </c>
      <c r="H122">
        <v>0</v>
      </c>
      <c r="I122">
        <v>267</v>
      </c>
      <c r="J122">
        <v>1</v>
      </c>
      <c r="K122">
        <v>1</v>
      </c>
      <c r="L122">
        <v>0</v>
      </c>
      <c r="M122">
        <v>0</v>
      </c>
      <c r="N122">
        <v>0</v>
      </c>
    </row>
    <row r="123" spans="1:14">
      <c r="A123" t="s">
        <v>127</v>
      </c>
      <c r="B123" t="s">
        <v>728</v>
      </c>
      <c r="C123" t="s">
        <v>557</v>
      </c>
      <c r="D123" t="s">
        <v>729</v>
      </c>
      <c r="E123" t="s">
        <v>566</v>
      </c>
      <c r="F123">
        <v>2788</v>
      </c>
      <c r="G123">
        <v>3</v>
      </c>
      <c r="H123">
        <v>3</v>
      </c>
      <c r="I123">
        <v>0</v>
      </c>
      <c r="J123">
        <v>1</v>
      </c>
      <c r="K123">
        <v>6</v>
      </c>
      <c r="L123">
        <v>0</v>
      </c>
      <c r="M123">
        <v>0</v>
      </c>
      <c r="N123">
        <v>0</v>
      </c>
    </row>
    <row r="124" spans="1:14">
      <c r="A124" t="s">
        <v>127</v>
      </c>
      <c r="B124" t="s">
        <v>730</v>
      </c>
      <c r="C124" t="s">
        <v>557</v>
      </c>
      <c r="D124" t="s">
        <v>633</v>
      </c>
      <c r="E124" t="s">
        <v>561</v>
      </c>
      <c r="F124">
        <v>2034</v>
      </c>
      <c r="G124">
        <v>4</v>
      </c>
      <c r="H124">
        <v>6</v>
      </c>
      <c r="I124">
        <v>0</v>
      </c>
      <c r="J124">
        <v>1</v>
      </c>
      <c r="K124">
        <v>10</v>
      </c>
      <c r="L124">
        <v>0</v>
      </c>
      <c r="M124">
        <v>0</v>
      </c>
      <c r="N124">
        <v>0</v>
      </c>
    </row>
    <row r="125" spans="1:14">
      <c r="A125" t="s">
        <v>127</v>
      </c>
      <c r="B125" t="s">
        <v>731</v>
      </c>
      <c r="C125" t="s">
        <v>575</v>
      </c>
      <c r="D125" t="s">
        <v>560</v>
      </c>
      <c r="E125" t="s">
        <v>561</v>
      </c>
      <c r="F125">
        <v>2370</v>
      </c>
      <c r="G125">
        <v>6</v>
      </c>
      <c r="H125">
        <v>5</v>
      </c>
      <c r="I125">
        <v>0</v>
      </c>
      <c r="J125">
        <v>1</v>
      </c>
      <c r="K125">
        <v>11</v>
      </c>
      <c r="L125">
        <v>1</v>
      </c>
      <c r="M125">
        <v>0.41770000000000002</v>
      </c>
      <c r="N125">
        <v>0</v>
      </c>
    </row>
    <row r="126" spans="1:14">
      <c r="A126" t="s">
        <v>127</v>
      </c>
      <c r="B126" t="s">
        <v>732</v>
      </c>
      <c r="C126" t="s">
        <v>553</v>
      </c>
      <c r="D126" t="s">
        <v>733</v>
      </c>
      <c r="E126" t="s">
        <v>610</v>
      </c>
      <c r="F126">
        <v>2526</v>
      </c>
      <c r="G126">
        <v>1</v>
      </c>
      <c r="H126">
        <v>2</v>
      </c>
      <c r="I126">
        <v>0</v>
      </c>
      <c r="J126">
        <v>1</v>
      </c>
      <c r="K126">
        <v>3</v>
      </c>
      <c r="L126">
        <v>0</v>
      </c>
      <c r="M126">
        <v>0</v>
      </c>
      <c r="N126">
        <v>0</v>
      </c>
    </row>
    <row r="127" spans="1:14">
      <c r="A127" t="s">
        <v>127</v>
      </c>
      <c r="B127" t="s">
        <v>734</v>
      </c>
      <c r="C127" t="s">
        <v>553</v>
      </c>
      <c r="I127">
        <v>696</v>
      </c>
      <c r="N127">
        <v>1</v>
      </c>
    </row>
    <row r="128" spans="1:14">
      <c r="A128" t="s">
        <v>127</v>
      </c>
      <c r="B128" t="s">
        <v>735</v>
      </c>
      <c r="C128" t="s">
        <v>572</v>
      </c>
      <c r="D128" t="s">
        <v>604</v>
      </c>
      <c r="E128" t="s">
        <v>570</v>
      </c>
      <c r="F128">
        <v>2880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</row>
    <row r="129" spans="1:14">
      <c r="A129" t="s">
        <v>127</v>
      </c>
      <c r="B129" t="s">
        <v>736</v>
      </c>
      <c r="C129" t="s">
        <v>553</v>
      </c>
      <c r="D129" t="s">
        <v>729</v>
      </c>
      <c r="E129" t="s">
        <v>566</v>
      </c>
      <c r="F129">
        <v>1800</v>
      </c>
      <c r="G129">
        <v>1</v>
      </c>
      <c r="H129">
        <v>1</v>
      </c>
      <c r="I129">
        <v>0</v>
      </c>
      <c r="J129">
        <v>1</v>
      </c>
      <c r="K129">
        <v>2</v>
      </c>
      <c r="L129">
        <v>0</v>
      </c>
      <c r="M129">
        <v>0</v>
      </c>
      <c r="N129">
        <v>0</v>
      </c>
    </row>
    <row r="130" spans="1:14">
      <c r="A130" t="s">
        <v>127</v>
      </c>
      <c r="B130" t="s">
        <v>737</v>
      </c>
      <c r="C130" t="s">
        <v>553</v>
      </c>
      <c r="I130">
        <v>181</v>
      </c>
      <c r="N130">
        <v>1</v>
      </c>
    </row>
    <row r="131" spans="1:14">
      <c r="A131" t="s">
        <v>127</v>
      </c>
      <c r="B131" t="s">
        <v>738</v>
      </c>
      <c r="C131" t="s">
        <v>572</v>
      </c>
      <c r="D131" t="s">
        <v>633</v>
      </c>
      <c r="E131" t="s">
        <v>561</v>
      </c>
      <c r="F131">
        <v>2970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</row>
    <row r="132" spans="1:14">
      <c r="A132" t="s">
        <v>349</v>
      </c>
      <c r="B132" t="s">
        <v>739</v>
      </c>
      <c r="C132" t="s">
        <v>572</v>
      </c>
      <c r="D132" t="s">
        <v>644</v>
      </c>
      <c r="E132" t="s">
        <v>555</v>
      </c>
      <c r="F132">
        <v>3060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</row>
    <row r="133" spans="1:14">
      <c r="A133" t="s">
        <v>349</v>
      </c>
      <c r="B133" t="s">
        <v>740</v>
      </c>
      <c r="C133" t="s">
        <v>575</v>
      </c>
      <c r="D133" t="s">
        <v>741</v>
      </c>
      <c r="E133" t="s">
        <v>555</v>
      </c>
      <c r="F133">
        <v>1497</v>
      </c>
      <c r="G133">
        <v>11</v>
      </c>
      <c r="H133">
        <v>3</v>
      </c>
      <c r="I133">
        <v>0</v>
      </c>
      <c r="J133">
        <v>1</v>
      </c>
      <c r="K133">
        <v>14</v>
      </c>
      <c r="L133">
        <v>1</v>
      </c>
      <c r="M133">
        <v>0.8417</v>
      </c>
      <c r="N133">
        <v>0</v>
      </c>
    </row>
    <row r="134" spans="1:14">
      <c r="A134" t="s">
        <v>349</v>
      </c>
      <c r="B134" t="s">
        <v>742</v>
      </c>
      <c r="C134" t="s">
        <v>553</v>
      </c>
      <c r="D134" t="s">
        <v>717</v>
      </c>
      <c r="E134" t="s">
        <v>566</v>
      </c>
      <c r="F134">
        <v>1212</v>
      </c>
      <c r="G134">
        <v>0</v>
      </c>
      <c r="H134">
        <v>0</v>
      </c>
      <c r="I134">
        <v>378</v>
      </c>
      <c r="J134">
        <v>1</v>
      </c>
      <c r="K134">
        <v>0</v>
      </c>
      <c r="L134">
        <v>0</v>
      </c>
      <c r="M134">
        <v>0</v>
      </c>
      <c r="N134">
        <v>1</v>
      </c>
    </row>
    <row r="135" spans="1:14">
      <c r="A135" t="s">
        <v>349</v>
      </c>
      <c r="B135" t="s">
        <v>743</v>
      </c>
      <c r="C135" t="s">
        <v>553</v>
      </c>
      <c r="I135">
        <v>0</v>
      </c>
      <c r="N135">
        <v>0</v>
      </c>
    </row>
    <row r="136" spans="1:14">
      <c r="A136" t="s">
        <v>349</v>
      </c>
      <c r="B136" t="s">
        <v>744</v>
      </c>
      <c r="C136" t="s">
        <v>557</v>
      </c>
      <c r="I136">
        <v>0</v>
      </c>
      <c r="N136">
        <v>0</v>
      </c>
    </row>
    <row r="137" spans="1:14">
      <c r="A137" t="s">
        <v>349</v>
      </c>
      <c r="B137" t="s">
        <v>745</v>
      </c>
      <c r="C137" t="s">
        <v>553</v>
      </c>
      <c r="I137">
        <v>804</v>
      </c>
      <c r="N137">
        <v>1</v>
      </c>
    </row>
    <row r="138" spans="1:14">
      <c r="A138" t="s">
        <v>349</v>
      </c>
      <c r="B138" t="s">
        <v>746</v>
      </c>
      <c r="C138" t="s">
        <v>553</v>
      </c>
      <c r="D138" t="s">
        <v>653</v>
      </c>
      <c r="E138" t="s">
        <v>566</v>
      </c>
      <c r="F138">
        <v>2835</v>
      </c>
      <c r="G138">
        <v>2</v>
      </c>
      <c r="H138">
        <v>2</v>
      </c>
      <c r="I138">
        <v>0</v>
      </c>
      <c r="J138">
        <v>1</v>
      </c>
      <c r="K138">
        <v>4</v>
      </c>
      <c r="L138">
        <v>0</v>
      </c>
      <c r="M138">
        <v>0</v>
      </c>
      <c r="N138">
        <v>0</v>
      </c>
    </row>
    <row r="139" spans="1:14">
      <c r="A139" t="s">
        <v>349</v>
      </c>
      <c r="B139" t="s">
        <v>747</v>
      </c>
      <c r="C139" t="s">
        <v>557</v>
      </c>
      <c r="I139">
        <v>630</v>
      </c>
      <c r="N139">
        <v>0</v>
      </c>
    </row>
    <row r="140" spans="1:14">
      <c r="A140" t="s">
        <v>349</v>
      </c>
      <c r="B140" t="s">
        <v>748</v>
      </c>
      <c r="C140" t="s">
        <v>575</v>
      </c>
      <c r="D140" t="s">
        <v>749</v>
      </c>
      <c r="E140" t="s">
        <v>566</v>
      </c>
      <c r="F140">
        <v>244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</row>
    <row r="141" spans="1:14">
      <c r="A141" t="s">
        <v>349</v>
      </c>
      <c r="B141" t="s">
        <v>750</v>
      </c>
      <c r="C141" t="s">
        <v>557</v>
      </c>
      <c r="I141">
        <v>0</v>
      </c>
      <c r="N141">
        <v>0</v>
      </c>
    </row>
    <row r="142" spans="1:14">
      <c r="A142" t="s">
        <v>349</v>
      </c>
      <c r="B142" t="s">
        <v>751</v>
      </c>
      <c r="C142" t="s">
        <v>557</v>
      </c>
      <c r="I142">
        <v>72</v>
      </c>
      <c r="N142">
        <v>0</v>
      </c>
    </row>
    <row r="143" spans="1:14">
      <c r="A143" t="s">
        <v>349</v>
      </c>
      <c r="B143" t="s">
        <v>752</v>
      </c>
      <c r="C143" t="s">
        <v>557</v>
      </c>
      <c r="I143">
        <v>0</v>
      </c>
      <c r="N143">
        <v>0</v>
      </c>
    </row>
    <row r="144" spans="1:14">
      <c r="A144" t="s">
        <v>349</v>
      </c>
      <c r="B144" t="s">
        <v>753</v>
      </c>
      <c r="C144" t="s">
        <v>553</v>
      </c>
      <c r="I144">
        <v>0</v>
      </c>
      <c r="N144">
        <v>0</v>
      </c>
    </row>
    <row r="145" spans="1:14">
      <c r="A145" t="s">
        <v>349</v>
      </c>
      <c r="B145" t="s">
        <v>754</v>
      </c>
      <c r="C145" t="s">
        <v>557</v>
      </c>
      <c r="I145">
        <v>0</v>
      </c>
      <c r="N145">
        <v>0</v>
      </c>
    </row>
    <row r="146" spans="1:14">
      <c r="A146" t="s">
        <v>349</v>
      </c>
      <c r="B146" t="s">
        <v>755</v>
      </c>
      <c r="C146" t="s">
        <v>557</v>
      </c>
      <c r="I146">
        <v>0</v>
      </c>
      <c r="N146">
        <v>0</v>
      </c>
    </row>
    <row r="147" spans="1:14">
      <c r="A147" t="s">
        <v>349</v>
      </c>
      <c r="B147" t="s">
        <v>756</v>
      </c>
      <c r="C147" t="s">
        <v>575</v>
      </c>
      <c r="I147">
        <v>0</v>
      </c>
      <c r="N147">
        <v>0</v>
      </c>
    </row>
    <row r="148" spans="1:14">
      <c r="A148" t="s">
        <v>349</v>
      </c>
      <c r="B148" t="s">
        <v>757</v>
      </c>
      <c r="C148" t="s">
        <v>553</v>
      </c>
      <c r="I148">
        <v>0</v>
      </c>
      <c r="N148">
        <v>0</v>
      </c>
    </row>
    <row r="149" spans="1:14">
      <c r="A149" t="s">
        <v>349</v>
      </c>
      <c r="B149" t="s">
        <v>758</v>
      </c>
      <c r="C149" t="s">
        <v>557</v>
      </c>
      <c r="I149">
        <v>0</v>
      </c>
      <c r="N149">
        <v>0</v>
      </c>
    </row>
    <row r="150" spans="1:14">
      <c r="A150" t="s">
        <v>349</v>
      </c>
      <c r="B150" t="s">
        <v>759</v>
      </c>
      <c r="C150" t="s">
        <v>575</v>
      </c>
      <c r="I150">
        <v>0</v>
      </c>
      <c r="N150">
        <v>0</v>
      </c>
    </row>
    <row r="151" spans="1:14">
      <c r="A151" t="s">
        <v>349</v>
      </c>
      <c r="B151" t="s">
        <v>760</v>
      </c>
      <c r="C151" t="s">
        <v>553</v>
      </c>
      <c r="I151">
        <v>0</v>
      </c>
      <c r="N151">
        <v>0</v>
      </c>
    </row>
    <row r="152" spans="1:14">
      <c r="A152" t="s">
        <v>349</v>
      </c>
      <c r="B152" t="s">
        <v>761</v>
      </c>
      <c r="C152" t="s">
        <v>557</v>
      </c>
      <c r="I152">
        <v>0</v>
      </c>
      <c r="N152">
        <v>0</v>
      </c>
    </row>
    <row r="153" spans="1:14">
      <c r="A153" t="s">
        <v>349</v>
      </c>
      <c r="B153" t="s">
        <v>762</v>
      </c>
      <c r="C153" t="s">
        <v>575</v>
      </c>
      <c r="D153" t="s">
        <v>763</v>
      </c>
      <c r="E153" t="s">
        <v>555</v>
      </c>
      <c r="F153">
        <v>2382</v>
      </c>
      <c r="G153">
        <v>13</v>
      </c>
      <c r="H153">
        <v>3</v>
      </c>
      <c r="I153">
        <v>0</v>
      </c>
      <c r="J153">
        <v>1</v>
      </c>
      <c r="K153">
        <v>16</v>
      </c>
      <c r="L153">
        <v>1</v>
      </c>
      <c r="M153">
        <v>0.60450000000000004</v>
      </c>
      <c r="N153">
        <v>0</v>
      </c>
    </row>
    <row r="154" spans="1:14">
      <c r="A154" t="s">
        <v>349</v>
      </c>
      <c r="B154" t="s">
        <v>764</v>
      </c>
      <c r="C154" t="s">
        <v>557</v>
      </c>
      <c r="I154">
        <v>0</v>
      </c>
      <c r="N154">
        <v>0</v>
      </c>
    </row>
    <row r="155" spans="1:14">
      <c r="A155" t="s">
        <v>349</v>
      </c>
      <c r="B155" t="s">
        <v>765</v>
      </c>
      <c r="C155" t="s">
        <v>572</v>
      </c>
      <c r="I155">
        <v>0</v>
      </c>
      <c r="N155">
        <v>0</v>
      </c>
    </row>
    <row r="156" spans="1:14">
      <c r="A156" t="s">
        <v>349</v>
      </c>
      <c r="B156" t="s">
        <v>766</v>
      </c>
      <c r="C156" t="s">
        <v>553</v>
      </c>
      <c r="I156">
        <v>0</v>
      </c>
      <c r="N156">
        <v>0</v>
      </c>
    </row>
    <row r="157" spans="1:14">
      <c r="A157" t="s">
        <v>349</v>
      </c>
      <c r="B157" t="s">
        <v>767</v>
      </c>
      <c r="C157" t="s">
        <v>572</v>
      </c>
      <c r="I157">
        <v>0</v>
      </c>
      <c r="N157">
        <v>0</v>
      </c>
    </row>
    <row r="158" spans="1:14">
      <c r="A158" t="s">
        <v>120</v>
      </c>
      <c r="B158" t="s">
        <v>768</v>
      </c>
      <c r="C158" t="s">
        <v>572</v>
      </c>
      <c r="D158" t="s">
        <v>599</v>
      </c>
      <c r="E158" t="s">
        <v>570</v>
      </c>
      <c r="F158">
        <v>2340</v>
      </c>
      <c r="G158">
        <v>0</v>
      </c>
      <c r="H158">
        <v>0</v>
      </c>
      <c r="I158">
        <v>505</v>
      </c>
      <c r="J158">
        <v>1</v>
      </c>
      <c r="K158">
        <v>0</v>
      </c>
      <c r="L158">
        <v>0</v>
      </c>
      <c r="M158">
        <v>0</v>
      </c>
      <c r="N158">
        <v>1</v>
      </c>
    </row>
    <row r="159" spans="1:14">
      <c r="A159" t="s">
        <v>120</v>
      </c>
      <c r="B159" t="s">
        <v>769</v>
      </c>
      <c r="C159" t="s">
        <v>553</v>
      </c>
      <c r="D159" t="s">
        <v>708</v>
      </c>
      <c r="E159" t="s">
        <v>570</v>
      </c>
      <c r="F159">
        <v>2751</v>
      </c>
      <c r="G159">
        <v>3</v>
      </c>
      <c r="H159">
        <v>4</v>
      </c>
      <c r="I159">
        <v>1001</v>
      </c>
      <c r="J159">
        <v>1</v>
      </c>
      <c r="K159">
        <v>7</v>
      </c>
      <c r="L159">
        <v>0</v>
      </c>
      <c r="M159">
        <v>0</v>
      </c>
      <c r="N159">
        <v>1</v>
      </c>
    </row>
    <row r="160" spans="1:14">
      <c r="A160" t="s">
        <v>120</v>
      </c>
      <c r="B160" t="s">
        <v>770</v>
      </c>
      <c r="C160" t="s">
        <v>553</v>
      </c>
      <c r="D160" t="s">
        <v>771</v>
      </c>
      <c r="E160" t="s">
        <v>561</v>
      </c>
      <c r="F160">
        <v>1052</v>
      </c>
      <c r="G160">
        <v>0</v>
      </c>
      <c r="H160">
        <v>0</v>
      </c>
      <c r="I160">
        <v>1319</v>
      </c>
      <c r="J160">
        <v>1</v>
      </c>
      <c r="K160">
        <v>0</v>
      </c>
      <c r="L160">
        <v>0</v>
      </c>
      <c r="M160">
        <v>0</v>
      </c>
      <c r="N160">
        <v>1</v>
      </c>
    </row>
    <row r="161" spans="1:14">
      <c r="A161" t="s">
        <v>120</v>
      </c>
      <c r="B161" t="s">
        <v>772</v>
      </c>
      <c r="C161" t="s">
        <v>553</v>
      </c>
      <c r="I161">
        <v>0</v>
      </c>
      <c r="N161">
        <v>0</v>
      </c>
    </row>
    <row r="162" spans="1:14">
      <c r="A162" t="s">
        <v>120</v>
      </c>
      <c r="B162" t="s">
        <v>773</v>
      </c>
      <c r="C162" t="s">
        <v>575</v>
      </c>
      <c r="D162" t="s">
        <v>677</v>
      </c>
      <c r="E162" t="s">
        <v>610</v>
      </c>
      <c r="F162">
        <v>2815</v>
      </c>
      <c r="G162">
        <v>12</v>
      </c>
      <c r="H162">
        <v>5</v>
      </c>
      <c r="I162">
        <v>1169</v>
      </c>
      <c r="J162">
        <v>1</v>
      </c>
      <c r="K162">
        <v>17</v>
      </c>
      <c r="L162">
        <v>1</v>
      </c>
      <c r="M162">
        <v>0.54349999999999998</v>
      </c>
      <c r="N162">
        <v>0</v>
      </c>
    </row>
    <row r="163" spans="1:14">
      <c r="A163" t="s">
        <v>120</v>
      </c>
      <c r="B163" t="s">
        <v>774</v>
      </c>
      <c r="C163" t="s">
        <v>557</v>
      </c>
      <c r="D163" t="s">
        <v>775</v>
      </c>
      <c r="E163" t="s">
        <v>570</v>
      </c>
      <c r="F163">
        <v>2453</v>
      </c>
      <c r="G163">
        <v>7</v>
      </c>
      <c r="H163">
        <v>5</v>
      </c>
      <c r="I163">
        <v>539</v>
      </c>
      <c r="J163">
        <v>1</v>
      </c>
      <c r="K163">
        <v>12</v>
      </c>
      <c r="L163">
        <v>0</v>
      </c>
      <c r="M163">
        <v>0</v>
      </c>
      <c r="N163">
        <v>0</v>
      </c>
    </row>
    <row r="164" spans="1:14">
      <c r="A164" t="s">
        <v>120</v>
      </c>
      <c r="B164" t="s">
        <v>776</v>
      </c>
      <c r="C164" t="s">
        <v>557</v>
      </c>
      <c r="D164" t="s">
        <v>604</v>
      </c>
      <c r="E164" t="s">
        <v>570</v>
      </c>
      <c r="F164">
        <v>2571</v>
      </c>
      <c r="G164">
        <v>9</v>
      </c>
      <c r="H164">
        <v>2</v>
      </c>
      <c r="I164">
        <v>0</v>
      </c>
      <c r="J164">
        <v>1</v>
      </c>
      <c r="K164">
        <v>11</v>
      </c>
      <c r="L164">
        <v>0</v>
      </c>
      <c r="M164">
        <v>0</v>
      </c>
      <c r="N164">
        <v>0</v>
      </c>
    </row>
    <row r="165" spans="1:14">
      <c r="A165" t="s">
        <v>120</v>
      </c>
      <c r="B165" t="s">
        <v>777</v>
      </c>
      <c r="C165" t="s">
        <v>553</v>
      </c>
      <c r="I165">
        <v>0</v>
      </c>
      <c r="N165">
        <v>0</v>
      </c>
    </row>
    <row r="166" spans="1:14">
      <c r="A166" t="s">
        <v>120</v>
      </c>
      <c r="B166" t="s">
        <v>778</v>
      </c>
      <c r="C166" t="s">
        <v>575</v>
      </c>
      <c r="D166" t="s">
        <v>604</v>
      </c>
      <c r="E166" t="s">
        <v>570</v>
      </c>
      <c r="F166">
        <v>2494</v>
      </c>
      <c r="G166">
        <v>10</v>
      </c>
      <c r="H166">
        <v>2</v>
      </c>
      <c r="I166">
        <v>0</v>
      </c>
      <c r="J166">
        <v>1</v>
      </c>
      <c r="K166">
        <v>12</v>
      </c>
      <c r="L166">
        <v>1</v>
      </c>
      <c r="M166">
        <v>0.433</v>
      </c>
      <c r="N166">
        <v>0</v>
      </c>
    </row>
    <row r="167" spans="1:14">
      <c r="A167" t="s">
        <v>120</v>
      </c>
      <c r="B167" t="s">
        <v>779</v>
      </c>
      <c r="C167" t="s">
        <v>557</v>
      </c>
      <c r="D167" t="s">
        <v>780</v>
      </c>
      <c r="E167" t="s">
        <v>570</v>
      </c>
      <c r="F167">
        <v>1511</v>
      </c>
      <c r="G167">
        <v>2</v>
      </c>
      <c r="H167">
        <v>1</v>
      </c>
      <c r="I167">
        <v>0</v>
      </c>
      <c r="J167">
        <v>1</v>
      </c>
      <c r="K167">
        <v>3</v>
      </c>
      <c r="L167">
        <v>0</v>
      </c>
      <c r="M167">
        <v>0</v>
      </c>
      <c r="N167">
        <v>0</v>
      </c>
    </row>
    <row r="168" spans="1:14">
      <c r="A168" t="s">
        <v>120</v>
      </c>
      <c r="B168" t="s">
        <v>781</v>
      </c>
      <c r="C168" t="s">
        <v>575</v>
      </c>
      <c r="D168" t="s">
        <v>626</v>
      </c>
      <c r="E168" t="s">
        <v>570</v>
      </c>
      <c r="F168">
        <v>1111</v>
      </c>
      <c r="G168">
        <v>5</v>
      </c>
      <c r="H168">
        <v>2</v>
      </c>
      <c r="I168">
        <v>0</v>
      </c>
      <c r="J168">
        <v>1</v>
      </c>
      <c r="K168">
        <v>7</v>
      </c>
      <c r="L168">
        <v>1</v>
      </c>
      <c r="M168">
        <v>0.56710000000000005</v>
      </c>
      <c r="N168">
        <v>0</v>
      </c>
    </row>
    <row r="169" spans="1:14">
      <c r="A169" t="s">
        <v>120</v>
      </c>
      <c r="B169" t="s">
        <v>782</v>
      </c>
      <c r="C169" t="s">
        <v>557</v>
      </c>
      <c r="D169" t="s">
        <v>783</v>
      </c>
      <c r="E169" t="s">
        <v>610</v>
      </c>
      <c r="F169">
        <v>1380</v>
      </c>
      <c r="G169">
        <v>10</v>
      </c>
      <c r="H169">
        <v>3</v>
      </c>
      <c r="I169">
        <v>544</v>
      </c>
      <c r="J169">
        <v>1</v>
      </c>
      <c r="K169">
        <v>13</v>
      </c>
      <c r="L169">
        <v>0</v>
      </c>
      <c r="M169">
        <v>0</v>
      </c>
      <c r="N169">
        <v>0</v>
      </c>
    </row>
    <row r="170" spans="1:14">
      <c r="A170" t="s">
        <v>120</v>
      </c>
      <c r="B170" t="s">
        <v>784</v>
      </c>
      <c r="C170" t="s">
        <v>557</v>
      </c>
      <c r="D170" t="s">
        <v>708</v>
      </c>
      <c r="E170" t="s">
        <v>570</v>
      </c>
      <c r="F170">
        <v>1081</v>
      </c>
      <c r="G170">
        <v>1</v>
      </c>
      <c r="H170">
        <v>4</v>
      </c>
      <c r="I170">
        <v>701</v>
      </c>
      <c r="J170">
        <v>1</v>
      </c>
      <c r="K170">
        <v>5</v>
      </c>
      <c r="L170">
        <v>0</v>
      </c>
      <c r="M170">
        <v>0</v>
      </c>
      <c r="N170">
        <v>0</v>
      </c>
    </row>
    <row r="171" spans="1:14">
      <c r="A171" t="s">
        <v>120</v>
      </c>
      <c r="B171" t="s">
        <v>785</v>
      </c>
      <c r="C171" t="s">
        <v>575</v>
      </c>
      <c r="D171" t="s">
        <v>786</v>
      </c>
      <c r="E171" t="s">
        <v>570</v>
      </c>
      <c r="F171">
        <v>3282</v>
      </c>
      <c r="G171">
        <v>14</v>
      </c>
      <c r="H171">
        <v>1</v>
      </c>
      <c r="I171">
        <v>0</v>
      </c>
      <c r="J171">
        <v>1</v>
      </c>
      <c r="K171">
        <v>15</v>
      </c>
      <c r="L171">
        <v>1</v>
      </c>
      <c r="M171">
        <v>0.4113</v>
      </c>
      <c r="N171">
        <v>0</v>
      </c>
    </row>
    <row r="172" spans="1:14">
      <c r="A172" t="s">
        <v>120</v>
      </c>
      <c r="B172" t="s">
        <v>787</v>
      </c>
      <c r="C172" t="s">
        <v>553</v>
      </c>
      <c r="I172">
        <v>0</v>
      </c>
      <c r="N172">
        <v>0</v>
      </c>
    </row>
    <row r="173" spans="1:14">
      <c r="A173" t="s">
        <v>120</v>
      </c>
      <c r="B173" t="s">
        <v>788</v>
      </c>
      <c r="C173" t="s">
        <v>575</v>
      </c>
      <c r="D173" t="s">
        <v>789</v>
      </c>
      <c r="E173" t="s">
        <v>790</v>
      </c>
      <c r="F173">
        <v>1227</v>
      </c>
      <c r="G173">
        <v>4</v>
      </c>
      <c r="H173">
        <v>7</v>
      </c>
      <c r="I173">
        <v>12</v>
      </c>
      <c r="J173">
        <v>1</v>
      </c>
      <c r="K173">
        <v>11</v>
      </c>
      <c r="L173">
        <v>1</v>
      </c>
      <c r="M173">
        <v>0.80679999999999996</v>
      </c>
      <c r="N173">
        <v>0</v>
      </c>
    </row>
    <row r="174" spans="1:14">
      <c r="A174" t="s">
        <v>120</v>
      </c>
      <c r="B174" t="s">
        <v>791</v>
      </c>
      <c r="C174" t="s">
        <v>553</v>
      </c>
      <c r="I174">
        <v>0</v>
      </c>
      <c r="N174">
        <v>0</v>
      </c>
    </row>
    <row r="175" spans="1:14">
      <c r="A175" t="s">
        <v>120</v>
      </c>
      <c r="B175" t="s">
        <v>792</v>
      </c>
      <c r="C175" t="s">
        <v>557</v>
      </c>
      <c r="I175">
        <v>0</v>
      </c>
      <c r="N175">
        <v>0</v>
      </c>
    </row>
    <row r="176" spans="1:14">
      <c r="A176" t="s">
        <v>120</v>
      </c>
      <c r="B176" t="s">
        <v>793</v>
      </c>
      <c r="C176" t="s">
        <v>575</v>
      </c>
      <c r="I176">
        <v>0</v>
      </c>
      <c r="N176">
        <v>0</v>
      </c>
    </row>
    <row r="177" spans="1:14">
      <c r="A177" t="s">
        <v>120</v>
      </c>
      <c r="B177" t="s">
        <v>794</v>
      </c>
      <c r="C177" t="s">
        <v>575</v>
      </c>
      <c r="I177">
        <v>0</v>
      </c>
      <c r="N177">
        <v>0</v>
      </c>
    </row>
    <row r="178" spans="1:14">
      <c r="A178" t="s">
        <v>120</v>
      </c>
      <c r="B178" t="s">
        <v>795</v>
      </c>
      <c r="C178" t="s">
        <v>557</v>
      </c>
      <c r="D178" t="s">
        <v>717</v>
      </c>
      <c r="E178" t="s">
        <v>566</v>
      </c>
      <c r="F178">
        <v>2230</v>
      </c>
      <c r="G178">
        <v>1</v>
      </c>
      <c r="H178">
        <v>1</v>
      </c>
      <c r="I178">
        <v>720</v>
      </c>
      <c r="J178">
        <v>1</v>
      </c>
      <c r="K178">
        <v>2</v>
      </c>
      <c r="L178">
        <v>0</v>
      </c>
      <c r="M178">
        <v>0</v>
      </c>
      <c r="N178">
        <v>0</v>
      </c>
    </row>
    <row r="179" spans="1:14">
      <c r="A179" t="s">
        <v>120</v>
      </c>
      <c r="B179" t="s">
        <v>796</v>
      </c>
      <c r="C179" t="s">
        <v>553</v>
      </c>
      <c r="I179">
        <v>0</v>
      </c>
      <c r="N179">
        <v>0</v>
      </c>
    </row>
    <row r="180" spans="1:14">
      <c r="A180" t="s">
        <v>120</v>
      </c>
      <c r="B180" t="s">
        <v>797</v>
      </c>
      <c r="C180" t="s">
        <v>553</v>
      </c>
      <c r="D180" t="s">
        <v>798</v>
      </c>
      <c r="E180" t="s">
        <v>566</v>
      </c>
      <c r="F180">
        <v>2171</v>
      </c>
      <c r="G180">
        <v>4</v>
      </c>
      <c r="H180">
        <v>3</v>
      </c>
      <c r="I180">
        <v>303</v>
      </c>
      <c r="J180">
        <v>1</v>
      </c>
      <c r="K180">
        <v>7</v>
      </c>
      <c r="L180">
        <v>0</v>
      </c>
      <c r="M180">
        <v>0</v>
      </c>
      <c r="N180">
        <v>1</v>
      </c>
    </row>
    <row r="181" spans="1:14">
      <c r="A181" t="s">
        <v>120</v>
      </c>
      <c r="B181" t="s">
        <v>799</v>
      </c>
      <c r="C181" t="s">
        <v>572</v>
      </c>
      <c r="I181">
        <v>0</v>
      </c>
      <c r="N181">
        <v>0</v>
      </c>
    </row>
    <row r="182" spans="1:14">
      <c r="A182" t="s">
        <v>120</v>
      </c>
      <c r="B182" t="s">
        <v>800</v>
      </c>
      <c r="C182" t="s">
        <v>553</v>
      </c>
      <c r="I182">
        <v>0</v>
      </c>
      <c r="N182">
        <v>0</v>
      </c>
    </row>
    <row r="183" spans="1:14">
      <c r="A183" t="s">
        <v>120</v>
      </c>
      <c r="B183" t="s">
        <v>801</v>
      </c>
      <c r="C183" t="s">
        <v>572</v>
      </c>
      <c r="I183">
        <v>0</v>
      </c>
      <c r="N183">
        <v>0</v>
      </c>
    </row>
    <row r="184" spans="1:14">
      <c r="A184" t="s">
        <v>157</v>
      </c>
      <c r="B184" t="s">
        <v>802</v>
      </c>
      <c r="C184" t="s">
        <v>553</v>
      </c>
      <c r="I184">
        <v>0</v>
      </c>
      <c r="N184">
        <v>0</v>
      </c>
    </row>
    <row r="185" spans="1:14">
      <c r="A185" t="s">
        <v>157</v>
      </c>
      <c r="B185" t="s">
        <v>803</v>
      </c>
      <c r="C185" t="s">
        <v>553</v>
      </c>
      <c r="I185">
        <v>0</v>
      </c>
      <c r="N185">
        <v>0</v>
      </c>
    </row>
    <row r="186" spans="1:14">
      <c r="A186" t="s">
        <v>157</v>
      </c>
      <c r="B186" t="s">
        <v>804</v>
      </c>
      <c r="C186" t="s">
        <v>572</v>
      </c>
      <c r="I186">
        <v>0</v>
      </c>
      <c r="N186">
        <v>0</v>
      </c>
    </row>
    <row r="187" spans="1:14">
      <c r="A187" t="s">
        <v>157</v>
      </c>
      <c r="B187" t="s">
        <v>805</v>
      </c>
      <c r="C187" t="s">
        <v>557</v>
      </c>
      <c r="I187">
        <v>0</v>
      </c>
      <c r="N187">
        <v>0</v>
      </c>
    </row>
    <row r="188" spans="1:14">
      <c r="A188" t="s">
        <v>157</v>
      </c>
      <c r="B188" t="s">
        <v>806</v>
      </c>
      <c r="C188" t="s">
        <v>575</v>
      </c>
      <c r="I188">
        <v>0</v>
      </c>
      <c r="N188">
        <v>0</v>
      </c>
    </row>
    <row r="189" spans="1:14">
      <c r="A189" t="s">
        <v>157</v>
      </c>
      <c r="B189" t="s">
        <v>807</v>
      </c>
      <c r="C189" t="s">
        <v>553</v>
      </c>
      <c r="I189">
        <v>0</v>
      </c>
      <c r="N189">
        <v>0</v>
      </c>
    </row>
    <row r="190" spans="1:14">
      <c r="A190" t="s">
        <v>157</v>
      </c>
      <c r="B190" t="s">
        <v>808</v>
      </c>
      <c r="C190" t="s">
        <v>553</v>
      </c>
      <c r="I190">
        <v>12</v>
      </c>
      <c r="N190">
        <v>1</v>
      </c>
    </row>
    <row r="191" spans="1:14">
      <c r="A191" t="s">
        <v>157</v>
      </c>
      <c r="B191" t="s">
        <v>809</v>
      </c>
      <c r="C191" t="s">
        <v>557</v>
      </c>
      <c r="I191">
        <v>0</v>
      </c>
      <c r="N191">
        <v>0</v>
      </c>
    </row>
    <row r="192" spans="1:14">
      <c r="A192" t="s">
        <v>157</v>
      </c>
      <c r="B192" t="s">
        <v>810</v>
      </c>
      <c r="C192" t="s">
        <v>557</v>
      </c>
      <c r="I192">
        <v>0</v>
      </c>
      <c r="N192">
        <v>0</v>
      </c>
    </row>
    <row r="193" spans="1:14">
      <c r="A193" t="s">
        <v>157</v>
      </c>
      <c r="B193" t="s">
        <v>811</v>
      </c>
      <c r="C193" t="s">
        <v>575</v>
      </c>
      <c r="I193">
        <v>0</v>
      </c>
      <c r="N193">
        <v>0</v>
      </c>
    </row>
    <row r="194" spans="1:14">
      <c r="A194" t="s">
        <v>157</v>
      </c>
      <c r="B194" t="s">
        <v>812</v>
      </c>
      <c r="C194" t="s">
        <v>557</v>
      </c>
      <c r="I194">
        <v>0</v>
      </c>
      <c r="N194">
        <v>0</v>
      </c>
    </row>
    <row r="195" spans="1:14">
      <c r="A195" t="s">
        <v>157</v>
      </c>
      <c r="B195" t="s">
        <v>813</v>
      </c>
      <c r="C195" t="s">
        <v>575</v>
      </c>
      <c r="I195">
        <v>0</v>
      </c>
      <c r="N195">
        <v>0</v>
      </c>
    </row>
    <row r="196" spans="1:14">
      <c r="A196" t="s">
        <v>157</v>
      </c>
      <c r="B196" t="s">
        <v>814</v>
      </c>
      <c r="C196" t="s">
        <v>575</v>
      </c>
      <c r="I196">
        <v>0</v>
      </c>
      <c r="N196">
        <v>0</v>
      </c>
    </row>
    <row r="197" spans="1:14">
      <c r="A197" t="s">
        <v>157</v>
      </c>
      <c r="B197" t="s">
        <v>815</v>
      </c>
      <c r="C197" t="s">
        <v>575</v>
      </c>
      <c r="I197">
        <v>0</v>
      </c>
      <c r="N197">
        <v>0</v>
      </c>
    </row>
    <row r="198" spans="1:14">
      <c r="A198" t="s">
        <v>157</v>
      </c>
      <c r="B198" t="s">
        <v>816</v>
      </c>
      <c r="C198" t="s">
        <v>553</v>
      </c>
      <c r="I198">
        <v>0</v>
      </c>
      <c r="N198">
        <v>0</v>
      </c>
    </row>
    <row r="199" spans="1:14">
      <c r="A199" t="s">
        <v>157</v>
      </c>
      <c r="B199" t="s">
        <v>817</v>
      </c>
      <c r="C199" t="s">
        <v>553</v>
      </c>
      <c r="I199">
        <v>0</v>
      </c>
      <c r="N199">
        <v>0</v>
      </c>
    </row>
    <row r="200" spans="1:14">
      <c r="A200" t="s">
        <v>157</v>
      </c>
      <c r="B200" t="s">
        <v>818</v>
      </c>
      <c r="C200" t="s">
        <v>575</v>
      </c>
      <c r="I200">
        <v>0</v>
      </c>
      <c r="N200">
        <v>0</v>
      </c>
    </row>
    <row r="201" spans="1:14">
      <c r="A201" t="s">
        <v>157</v>
      </c>
      <c r="B201" t="s">
        <v>819</v>
      </c>
      <c r="C201" t="s">
        <v>557</v>
      </c>
      <c r="I201">
        <v>0</v>
      </c>
      <c r="N201">
        <v>0</v>
      </c>
    </row>
    <row r="202" spans="1:14">
      <c r="A202" t="s">
        <v>157</v>
      </c>
      <c r="B202" t="s">
        <v>820</v>
      </c>
      <c r="C202" t="s">
        <v>557</v>
      </c>
      <c r="I202">
        <v>0</v>
      </c>
      <c r="N202">
        <v>0</v>
      </c>
    </row>
    <row r="203" spans="1:14">
      <c r="A203" t="s">
        <v>157</v>
      </c>
      <c r="B203" t="s">
        <v>821</v>
      </c>
      <c r="C203" t="s">
        <v>575</v>
      </c>
      <c r="I203">
        <v>0</v>
      </c>
      <c r="N203">
        <v>0</v>
      </c>
    </row>
    <row r="204" spans="1:14">
      <c r="A204" t="s">
        <v>157</v>
      </c>
      <c r="B204" t="s">
        <v>822</v>
      </c>
      <c r="C204" t="s">
        <v>557</v>
      </c>
      <c r="I204">
        <v>0</v>
      </c>
      <c r="N204">
        <v>0</v>
      </c>
    </row>
    <row r="205" spans="1:14">
      <c r="A205" t="s">
        <v>157</v>
      </c>
      <c r="B205" t="s">
        <v>823</v>
      </c>
      <c r="C205" t="s">
        <v>553</v>
      </c>
      <c r="D205" t="s">
        <v>824</v>
      </c>
      <c r="E205" t="s">
        <v>610</v>
      </c>
      <c r="F205">
        <v>30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</row>
    <row r="206" spans="1:14">
      <c r="A206" t="s">
        <v>157</v>
      </c>
      <c r="B206" t="s">
        <v>825</v>
      </c>
      <c r="C206" t="s">
        <v>572</v>
      </c>
      <c r="I206">
        <v>0</v>
      </c>
      <c r="N206">
        <v>0</v>
      </c>
    </row>
    <row r="207" spans="1:14">
      <c r="A207" t="s">
        <v>157</v>
      </c>
      <c r="B207" t="s">
        <v>826</v>
      </c>
      <c r="C207" t="s">
        <v>553</v>
      </c>
      <c r="I207">
        <v>0</v>
      </c>
      <c r="N207">
        <v>0</v>
      </c>
    </row>
    <row r="208" spans="1:14">
      <c r="A208" t="s">
        <v>157</v>
      </c>
      <c r="B208" t="s">
        <v>827</v>
      </c>
      <c r="C208" t="s">
        <v>572</v>
      </c>
      <c r="I208">
        <v>0</v>
      </c>
      <c r="N208">
        <v>0</v>
      </c>
    </row>
    <row r="209" spans="1:14">
      <c r="A209" t="s">
        <v>157</v>
      </c>
      <c r="B209" t="s">
        <v>828</v>
      </c>
      <c r="C209" t="s">
        <v>553</v>
      </c>
      <c r="I209">
        <v>0</v>
      </c>
      <c r="N209">
        <v>0</v>
      </c>
    </row>
    <row r="210" spans="1:14">
      <c r="A210" t="s">
        <v>117</v>
      </c>
      <c r="B210" t="s">
        <v>829</v>
      </c>
      <c r="C210" t="s">
        <v>572</v>
      </c>
      <c r="I210">
        <v>0</v>
      </c>
      <c r="N210">
        <v>0</v>
      </c>
    </row>
    <row r="211" spans="1:14">
      <c r="A211" t="s">
        <v>117</v>
      </c>
      <c r="B211" t="s">
        <v>830</v>
      </c>
      <c r="C211" t="s">
        <v>553</v>
      </c>
      <c r="I211">
        <v>0</v>
      </c>
      <c r="N211">
        <v>0</v>
      </c>
    </row>
    <row r="212" spans="1:14">
      <c r="A212" t="s">
        <v>117</v>
      </c>
      <c r="B212" t="s">
        <v>831</v>
      </c>
      <c r="C212" t="s">
        <v>553</v>
      </c>
      <c r="I212">
        <v>0</v>
      </c>
      <c r="N212">
        <v>0</v>
      </c>
    </row>
    <row r="213" spans="1:14">
      <c r="A213" t="s">
        <v>117</v>
      </c>
      <c r="B213" t="s">
        <v>832</v>
      </c>
      <c r="C213" t="s">
        <v>575</v>
      </c>
      <c r="D213" t="s">
        <v>798</v>
      </c>
      <c r="E213" t="s">
        <v>566</v>
      </c>
      <c r="F213">
        <v>1781</v>
      </c>
      <c r="G213">
        <v>6</v>
      </c>
      <c r="H213">
        <v>4</v>
      </c>
      <c r="I213">
        <v>394</v>
      </c>
      <c r="J213">
        <v>1</v>
      </c>
      <c r="K213">
        <v>10</v>
      </c>
      <c r="L213">
        <v>1</v>
      </c>
      <c r="M213">
        <v>0.50529999999999997</v>
      </c>
      <c r="N213">
        <v>0</v>
      </c>
    </row>
    <row r="214" spans="1:14">
      <c r="A214" t="s">
        <v>117</v>
      </c>
      <c r="B214" t="s">
        <v>833</v>
      </c>
      <c r="C214" t="s">
        <v>557</v>
      </c>
      <c r="D214" t="s">
        <v>824</v>
      </c>
      <c r="E214" t="s">
        <v>610</v>
      </c>
      <c r="F214">
        <v>1819</v>
      </c>
      <c r="G214">
        <v>7</v>
      </c>
      <c r="H214">
        <v>1</v>
      </c>
      <c r="I214">
        <v>426</v>
      </c>
      <c r="J214">
        <v>1</v>
      </c>
      <c r="K214">
        <v>8</v>
      </c>
      <c r="L214">
        <v>0</v>
      </c>
      <c r="M214">
        <v>0</v>
      </c>
      <c r="N214">
        <v>0</v>
      </c>
    </row>
    <row r="215" spans="1:14">
      <c r="A215" t="s">
        <v>117</v>
      </c>
      <c r="B215" t="s">
        <v>834</v>
      </c>
      <c r="C215" t="s">
        <v>557</v>
      </c>
      <c r="I215">
        <v>0</v>
      </c>
      <c r="N215">
        <v>0</v>
      </c>
    </row>
    <row r="216" spans="1:14">
      <c r="A216" t="s">
        <v>117</v>
      </c>
      <c r="B216" t="s">
        <v>835</v>
      </c>
      <c r="C216" t="s">
        <v>553</v>
      </c>
      <c r="I216">
        <v>0</v>
      </c>
      <c r="N216">
        <v>0</v>
      </c>
    </row>
    <row r="217" spans="1:14">
      <c r="A217" t="s">
        <v>117</v>
      </c>
      <c r="B217" t="s">
        <v>836</v>
      </c>
      <c r="C217" t="s">
        <v>553</v>
      </c>
      <c r="D217" t="s">
        <v>576</v>
      </c>
      <c r="E217" t="s">
        <v>561</v>
      </c>
      <c r="F217">
        <v>58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</row>
    <row r="218" spans="1:14">
      <c r="A218" t="s">
        <v>117</v>
      </c>
      <c r="B218" t="s">
        <v>837</v>
      </c>
      <c r="C218" t="s">
        <v>575</v>
      </c>
      <c r="D218" t="s">
        <v>824</v>
      </c>
      <c r="E218" t="s">
        <v>610</v>
      </c>
      <c r="F218">
        <v>901</v>
      </c>
      <c r="G218">
        <v>2</v>
      </c>
      <c r="H218">
        <v>2</v>
      </c>
      <c r="I218">
        <v>402</v>
      </c>
      <c r="J218">
        <v>1</v>
      </c>
      <c r="K218">
        <v>4</v>
      </c>
      <c r="L218">
        <v>1</v>
      </c>
      <c r="M218">
        <v>0.39960000000000001</v>
      </c>
      <c r="N218">
        <v>0</v>
      </c>
    </row>
    <row r="219" spans="1:14">
      <c r="A219" t="s">
        <v>117</v>
      </c>
      <c r="B219" t="s">
        <v>838</v>
      </c>
      <c r="C219" t="s">
        <v>557</v>
      </c>
      <c r="I219">
        <v>0</v>
      </c>
      <c r="N219">
        <v>0</v>
      </c>
    </row>
    <row r="220" spans="1:14">
      <c r="A220" t="s">
        <v>117</v>
      </c>
      <c r="B220" t="s">
        <v>839</v>
      </c>
      <c r="C220" t="s">
        <v>553</v>
      </c>
      <c r="D220" t="s">
        <v>579</v>
      </c>
      <c r="E220" t="s">
        <v>561</v>
      </c>
      <c r="F220">
        <v>145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</row>
    <row r="221" spans="1:14">
      <c r="A221" t="s">
        <v>117</v>
      </c>
      <c r="B221" t="s">
        <v>840</v>
      </c>
      <c r="C221" t="s">
        <v>575</v>
      </c>
      <c r="I221">
        <v>0</v>
      </c>
      <c r="N221">
        <v>0</v>
      </c>
    </row>
    <row r="222" spans="1:14">
      <c r="A222" t="s">
        <v>117</v>
      </c>
      <c r="B222" t="s">
        <v>841</v>
      </c>
      <c r="C222" t="s">
        <v>557</v>
      </c>
      <c r="I222">
        <v>0</v>
      </c>
      <c r="N222">
        <v>0</v>
      </c>
    </row>
    <row r="223" spans="1:14">
      <c r="A223" t="s">
        <v>117</v>
      </c>
      <c r="B223" t="s">
        <v>842</v>
      </c>
      <c r="C223" t="s">
        <v>557</v>
      </c>
      <c r="I223">
        <v>0</v>
      </c>
      <c r="N223">
        <v>0</v>
      </c>
    </row>
    <row r="224" spans="1:14">
      <c r="A224" t="s">
        <v>117</v>
      </c>
      <c r="B224" t="s">
        <v>843</v>
      </c>
      <c r="C224" t="s">
        <v>557</v>
      </c>
      <c r="D224" t="s">
        <v>653</v>
      </c>
      <c r="E224" t="s">
        <v>566</v>
      </c>
      <c r="F224">
        <v>2737</v>
      </c>
      <c r="G224">
        <v>6</v>
      </c>
      <c r="H224">
        <v>0</v>
      </c>
      <c r="I224">
        <v>0</v>
      </c>
      <c r="J224">
        <v>1</v>
      </c>
      <c r="K224">
        <v>6</v>
      </c>
      <c r="L224">
        <v>0</v>
      </c>
      <c r="M224">
        <v>0</v>
      </c>
      <c r="N224">
        <v>0</v>
      </c>
    </row>
    <row r="225" spans="1:14">
      <c r="A225" t="s">
        <v>117</v>
      </c>
      <c r="B225" t="s">
        <v>844</v>
      </c>
      <c r="C225" t="s">
        <v>557</v>
      </c>
      <c r="I225">
        <v>0</v>
      </c>
      <c r="N225">
        <v>0</v>
      </c>
    </row>
    <row r="226" spans="1:14">
      <c r="A226" t="s">
        <v>117</v>
      </c>
      <c r="B226" t="s">
        <v>845</v>
      </c>
      <c r="C226" t="s">
        <v>557</v>
      </c>
      <c r="I226">
        <v>0</v>
      </c>
      <c r="N226">
        <v>0</v>
      </c>
    </row>
    <row r="227" spans="1:14">
      <c r="A227" t="s">
        <v>117</v>
      </c>
      <c r="B227" t="s">
        <v>846</v>
      </c>
      <c r="C227" t="s">
        <v>557</v>
      </c>
      <c r="I227">
        <v>0</v>
      </c>
      <c r="N227">
        <v>0</v>
      </c>
    </row>
    <row r="228" spans="1:14">
      <c r="A228" t="s">
        <v>117</v>
      </c>
      <c r="B228" t="s">
        <v>847</v>
      </c>
      <c r="C228" t="s">
        <v>575</v>
      </c>
      <c r="I228">
        <v>368</v>
      </c>
      <c r="N228">
        <v>0</v>
      </c>
    </row>
    <row r="229" spans="1:14">
      <c r="A229" t="s">
        <v>117</v>
      </c>
      <c r="B229" t="s">
        <v>848</v>
      </c>
      <c r="C229" t="s">
        <v>553</v>
      </c>
      <c r="D229" t="s">
        <v>668</v>
      </c>
      <c r="E229" t="s">
        <v>555</v>
      </c>
      <c r="F229">
        <v>525</v>
      </c>
      <c r="G229">
        <v>1</v>
      </c>
      <c r="H229">
        <v>3</v>
      </c>
      <c r="I229">
        <v>217</v>
      </c>
      <c r="J229">
        <v>1</v>
      </c>
      <c r="K229">
        <v>4</v>
      </c>
      <c r="L229">
        <v>0</v>
      </c>
      <c r="M229">
        <v>0</v>
      </c>
      <c r="N229">
        <v>1</v>
      </c>
    </row>
    <row r="230" spans="1:14">
      <c r="A230" t="s">
        <v>117</v>
      </c>
      <c r="B230" t="s">
        <v>849</v>
      </c>
      <c r="C230" t="s">
        <v>557</v>
      </c>
      <c r="I230">
        <v>0</v>
      </c>
      <c r="N230">
        <v>0</v>
      </c>
    </row>
    <row r="231" spans="1:14">
      <c r="A231" t="s">
        <v>117</v>
      </c>
      <c r="B231" t="s">
        <v>850</v>
      </c>
      <c r="C231" t="s">
        <v>575</v>
      </c>
      <c r="I231">
        <v>0</v>
      </c>
      <c r="N231">
        <v>0</v>
      </c>
    </row>
    <row r="232" spans="1:14">
      <c r="A232" t="s">
        <v>117</v>
      </c>
      <c r="B232" t="s">
        <v>851</v>
      </c>
      <c r="C232" t="s">
        <v>572</v>
      </c>
      <c r="I232">
        <v>0</v>
      </c>
      <c r="N232">
        <v>0</v>
      </c>
    </row>
    <row r="233" spans="1:14">
      <c r="A233" t="s">
        <v>117</v>
      </c>
      <c r="B233" t="s">
        <v>852</v>
      </c>
      <c r="C233" t="s">
        <v>553</v>
      </c>
      <c r="I233">
        <v>0</v>
      </c>
      <c r="N233">
        <v>0</v>
      </c>
    </row>
    <row r="234" spans="1:14">
      <c r="A234" t="s">
        <v>117</v>
      </c>
      <c r="B234" t="s">
        <v>853</v>
      </c>
      <c r="C234" t="s">
        <v>572</v>
      </c>
      <c r="I234">
        <v>0</v>
      </c>
      <c r="N234">
        <v>0</v>
      </c>
    </row>
    <row r="235" spans="1:14">
      <c r="A235" t="s">
        <v>117</v>
      </c>
      <c r="B235" t="s">
        <v>854</v>
      </c>
      <c r="C235" t="s">
        <v>553</v>
      </c>
      <c r="I235">
        <v>0</v>
      </c>
      <c r="N235">
        <v>0</v>
      </c>
    </row>
    <row r="236" spans="1:14">
      <c r="A236" t="s">
        <v>150</v>
      </c>
      <c r="B236" t="s">
        <v>855</v>
      </c>
      <c r="C236" t="s">
        <v>553</v>
      </c>
      <c r="I236">
        <v>1020</v>
      </c>
      <c r="N236">
        <v>1</v>
      </c>
    </row>
    <row r="237" spans="1:14">
      <c r="A237" t="s">
        <v>150</v>
      </c>
      <c r="B237" t="s">
        <v>856</v>
      </c>
      <c r="C237" t="s">
        <v>572</v>
      </c>
      <c r="I237">
        <v>0</v>
      </c>
      <c r="N237">
        <v>0</v>
      </c>
    </row>
    <row r="238" spans="1:14">
      <c r="A238" t="s">
        <v>150</v>
      </c>
      <c r="B238" t="s">
        <v>857</v>
      </c>
      <c r="C238" t="s">
        <v>575</v>
      </c>
      <c r="D238" t="s">
        <v>668</v>
      </c>
      <c r="E238" t="s">
        <v>555</v>
      </c>
      <c r="F238">
        <v>2447</v>
      </c>
      <c r="G238">
        <v>15</v>
      </c>
      <c r="H238">
        <v>14</v>
      </c>
      <c r="I238">
        <v>978</v>
      </c>
      <c r="J238">
        <v>1</v>
      </c>
      <c r="K238">
        <v>29</v>
      </c>
      <c r="L238">
        <v>1</v>
      </c>
      <c r="M238">
        <v>1.0666</v>
      </c>
      <c r="N238">
        <v>0</v>
      </c>
    </row>
    <row r="239" spans="1:14">
      <c r="A239" t="s">
        <v>150</v>
      </c>
      <c r="B239" t="s">
        <v>858</v>
      </c>
      <c r="C239" t="s">
        <v>553</v>
      </c>
      <c r="D239" t="s">
        <v>859</v>
      </c>
      <c r="E239" t="s">
        <v>566</v>
      </c>
      <c r="F239">
        <v>2287</v>
      </c>
      <c r="G239">
        <v>1</v>
      </c>
      <c r="H239">
        <v>0</v>
      </c>
      <c r="I239">
        <v>0</v>
      </c>
      <c r="J239">
        <v>1</v>
      </c>
      <c r="K239">
        <v>1</v>
      </c>
      <c r="L239">
        <v>0</v>
      </c>
      <c r="M239">
        <v>0</v>
      </c>
      <c r="N239">
        <v>0</v>
      </c>
    </row>
    <row r="240" spans="1:14">
      <c r="A240" t="s">
        <v>150</v>
      </c>
      <c r="B240" t="s">
        <v>860</v>
      </c>
      <c r="C240" t="s">
        <v>557</v>
      </c>
      <c r="I240">
        <v>0</v>
      </c>
      <c r="N240">
        <v>0</v>
      </c>
    </row>
    <row r="241" spans="1:14">
      <c r="A241" t="s">
        <v>150</v>
      </c>
      <c r="B241" t="s">
        <v>861</v>
      </c>
      <c r="C241" t="s">
        <v>557</v>
      </c>
      <c r="D241" t="s">
        <v>862</v>
      </c>
      <c r="E241" t="s">
        <v>570</v>
      </c>
      <c r="F241">
        <v>1733</v>
      </c>
      <c r="G241">
        <v>0</v>
      </c>
      <c r="H241">
        <v>2</v>
      </c>
      <c r="I241">
        <v>0</v>
      </c>
      <c r="J241">
        <v>1</v>
      </c>
      <c r="K241">
        <v>2</v>
      </c>
      <c r="L241">
        <v>0</v>
      </c>
      <c r="M241">
        <v>0</v>
      </c>
      <c r="N241">
        <v>0</v>
      </c>
    </row>
    <row r="242" spans="1:14">
      <c r="A242" t="s">
        <v>150</v>
      </c>
      <c r="B242" t="s">
        <v>863</v>
      </c>
      <c r="C242" t="s">
        <v>557</v>
      </c>
      <c r="D242" t="s">
        <v>691</v>
      </c>
      <c r="E242" t="s">
        <v>570</v>
      </c>
      <c r="F242">
        <v>1124</v>
      </c>
      <c r="G242">
        <v>1</v>
      </c>
      <c r="H242">
        <v>0</v>
      </c>
      <c r="I242">
        <v>0</v>
      </c>
      <c r="J242">
        <v>1</v>
      </c>
      <c r="K242">
        <v>1</v>
      </c>
      <c r="L242">
        <v>0</v>
      </c>
      <c r="M242">
        <v>0</v>
      </c>
      <c r="N242">
        <v>0</v>
      </c>
    </row>
    <row r="243" spans="1:14">
      <c r="A243" t="s">
        <v>150</v>
      </c>
      <c r="B243" t="s">
        <v>864</v>
      </c>
      <c r="C243" t="s">
        <v>575</v>
      </c>
      <c r="I243">
        <v>0</v>
      </c>
      <c r="N243">
        <v>0</v>
      </c>
    </row>
    <row r="244" spans="1:14">
      <c r="A244" t="s">
        <v>150</v>
      </c>
      <c r="B244" t="s">
        <v>865</v>
      </c>
      <c r="C244" t="s">
        <v>553</v>
      </c>
      <c r="D244" t="s">
        <v>862</v>
      </c>
      <c r="E244" t="s">
        <v>570</v>
      </c>
      <c r="F244">
        <v>2399</v>
      </c>
      <c r="G244">
        <v>4</v>
      </c>
      <c r="H244">
        <v>3</v>
      </c>
      <c r="I244">
        <v>0</v>
      </c>
      <c r="J244">
        <v>1</v>
      </c>
      <c r="K244">
        <v>7</v>
      </c>
      <c r="L244">
        <v>0</v>
      </c>
      <c r="M244">
        <v>0</v>
      </c>
      <c r="N244">
        <v>0</v>
      </c>
    </row>
    <row r="245" spans="1:14">
      <c r="A245" t="s">
        <v>150</v>
      </c>
      <c r="B245" t="s">
        <v>866</v>
      </c>
      <c r="C245" t="s">
        <v>553</v>
      </c>
      <c r="D245" t="s">
        <v>867</v>
      </c>
      <c r="E245" t="s">
        <v>610</v>
      </c>
      <c r="F245">
        <v>2724</v>
      </c>
      <c r="G245">
        <v>0</v>
      </c>
      <c r="H245">
        <v>4</v>
      </c>
      <c r="I245">
        <v>0</v>
      </c>
      <c r="J245">
        <v>1</v>
      </c>
      <c r="K245">
        <v>4</v>
      </c>
      <c r="L245">
        <v>0</v>
      </c>
      <c r="M245">
        <v>0</v>
      </c>
      <c r="N245">
        <v>0</v>
      </c>
    </row>
    <row r="246" spans="1:14">
      <c r="A246" t="s">
        <v>150</v>
      </c>
      <c r="B246" t="s">
        <v>868</v>
      </c>
      <c r="C246" t="s">
        <v>575</v>
      </c>
      <c r="I246">
        <v>954</v>
      </c>
      <c r="N246">
        <v>0</v>
      </c>
    </row>
    <row r="247" spans="1:14">
      <c r="A247" t="s">
        <v>150</v>
      </c>
      <c r="B247" t="s">
        <v>869</v>
      </c>
      <c r="C247" t="s">
        <v>575</v>
      </c>
      <c r="I247">
        <v>0</v>
      </c>
      <c r="N247">
        <v>0</v>
      </c>
    </row>
    <row r="248" spans="1:14">
      <c r="A248" t="s">
        <v>150</v>
      </c>
      <c r="B248" t="s">
        <v>870</v>
      </c>
      <c r="C248" t="s">
        <v>553</v>
      </c>
      <c r="D248" t="s">
        <v>871</v>
      </c>
      <c r="E248" t="s">
        <v>561</v>
      </c>
      <c r="F248">
        <v>1180</v>
      </c>
      <c r="G248">
        <v>0</v>
      </c>
      <c r="H248">
        <v>1</v>
      </c>
      <c r="I248">
        <v>0</v>
      </c>
      <c r="J248">
        <v>1</v>
      </c>
      <c r="K248">
        <v>1</v>
      </c>
      <c r="L248">
        <v>0</v>
      </c>
      <c r="M248">
        <v>0</v>
      </c>
      <c r="N248">
        <v>0</v>
      </c>
    </row>
    <row r="249" spans="1:14">
      <c r="A249" t="s">
        <v>150</v>
      </c>
      <c r="B249" t="s">
        <v>872</v>
      </c>
      <c r="C249" t="s">
        <v>553</v>
      </c>
      <c r="I249">
        <v>0</v>
      </c>
      <c r="N249">
        <v>0</v>
      </c>
    </row>
    <row r="250" spans="1:14">
      <c r="A250" t="s">
        <v>150</v>
      </c>
      <c r="B250" t="s">
        <v>873</v>
      </c>
      <c r="C250" t="s">
        <v>557</v>
      </c>
      <c r="I250">
        <v>621</v>
      </c>
      <c r="N250">
        <v>0</v>
      </c>
    </row>
    <row r="251" spans="1:14">
      <c r="A251" t="s">
        <v>150</v>
      </c>
      <c r="B251" t="s">
        <v>874</v>
      </c>
      <c r="C251" t="s">
        <v>575</v>
      </c>
      <c r="I251">
        <v>0</v>
      </c>
      <c r="N251">
        <v>0</v>
      </c>
    </row>
    <row r="252" spans="1:14">
      <c r="A252" t="s">
        <v>150</v>
      </c>
      <c r="B252" t="s">
        <v>875</v>
      </c>
      <c r="C252" t="s">
        <v>575</v>
      </c>
      <c r="I252">
        <v>0</v>
      </c>
      <c r="N252">
        <v>0</v>
      </c>
    </row>
    <row r="253" spans="1:14">
      <c r="A253" t="s">
        <v>150</v>
      </c>
      <c r="B253" t="s">
        <v>876</v>
      </c>
      <c r="C253" t="s">
        <v>575</v>
      </c>
      <c r="D253" t="s">
        <v>631</v>
      </c>
      <c r="E253" t="s">
        <v>610</v>
      </c>
      <c r="F253">
        <v>2580</v>
      </c>
      <c r="G253">
        <v>10</v>
      </c>
      <c r="H253">
        <v>3</v>
      </c>
      <c r="I253">
        <v>0</v>
      </c>
      <c r="J253">
        <v>1</v>
      </c>
      <c r="K253">
        <v>13</v>
      </c>
      <c r="L253">
        <v>1</v>
      </c>
      <c r="M253">
        <v>0.45350000000000001</v>
      </c>
      <c r="N253">
        <v>0</v>
      </c>
    </row>
    <row r="254" spans="1:14">
      <c r="A254" t="s">
        <v>150</v>
      </c>
      <c r="B254" t="s">
        <v>877</v>
      </c>
      <c r="C254" t="s">
        <v>557</v>
      </c>
      <c r="I254">
        <v>0</v>
      </c>
      <c r="N254">
        <v>0</v>
      </c>
    </row>
    <row r="255" spans="1:14">
      <c r="A255" t="s">
        <v>150</v>
      </c>
      <c r="B255" t="s">
        <v>878</v>
      </c>
      <c r="C255" t="s">
        <v>553</v>
      </c>
      <c r="D255" t="s">
        <v>879</v>
      </c>
      <c r="E255" t="s">
        <v>566</v>
      </c>
      <c r="F255">
        <v>2150</v>
      </c>
      <c r="G255">
        <v>2</v>
      </c>
      <c r="H255">
        <v>0</v>
      </c>
      <c r="I255">
        <v>0</v>
      </c>
      <c r="J255">
        <v>1</v>
      </c>
      <c r="K255">
        <v>2</v>
      </c>
      <c r="L255">
        <v>0</v>
      </c>
      <c r="M255">
        <v>0</v>
      </c>
      <c r="N255">
        <v>0</v>
      </c>
    </row>
    <row r="256" spans="1:14">
      <c r="A256" t="s">
        <v>150</v>
      </c>
      <c r="B256" t="s">
        <v>880</v>
      </c>
      <c r="C256" t="s">
        <v>557</v>
      </c>
      <c r="I256">
        <v>0</v>
      </c>
      <c r="N256">
        <v>0</v>
      </c>
    </row>
    <row r="257" spans="1:14">
      <c r="A257" t="s">
        <v>150</v>
      </c>
      <c r="B257" t="s">
        <v>881</v>
      </c>
      <c r="C257" t="s">
        <v>557</v>
      </c>
      <c r="I257">
        <v>0</v>
      </c>
      <c r="N257">
        <v>0</v>
      </c>
    </row>
    <row r="258" spans="1:14">
      <c r="A258" t="s">
        <v>150</v>
      </c>
      <c r="B258" t="s">
        <v>882</v>
      </c>
      <c r="C258" t="s">
        <v>575</v>
      </c>
      <c r="I258">
        <v>0</v>
      </c>
      <c r="N258">
        <v>0</v>
      </c>
    </row>
    <row r="259" spans="1:14">
      <c r="A259" t="s">
        <v>150</v>
      </c>
      <c r="B259" t="s">
        <v>883</v>
      </c>
      <c r="C259" t="s">
        <v>572</v>
      </c>
      <c r="I259">
        <v>0</v>
      </c>
      <c r="N259">
        <v>0</v>
      </c>
    </row>
    <row r="260" spans="1:14">
      <c r="A260" t="s">
        <v>150</v>
      </c>
      <c r="B260" t="s">
        <v>884</v>
      </c>
      <c r="C260" t="s">
        <v>553</v>
      </c>
      <c r="I260">
        <v>0</v>
      </c>
      <c r="N260">
        <v>0</v>
      </c>
    </row>
    <row r="261" spans="1:14">
      <c r="A261" t="s">
        <v>150</v>
      </c>
      <c r="B261" t="s">
        <v>885</v>
      </c>
      <c r="C261" t="s">
        <v>572</v>
      </c>
      <c r="I261">
        <v>0</v>
      </c>
      <c r="N261">
        <v>0</v>
      </c>
    </row>
    <row r="262" spans="1:14">
      <c r="A262" t="s">
        <v>160</v>
      </c>
      <c r="B262" t="s">
        <v>886</v>
      </c>
      <c r="C262" t="s">
        <v>553</v>
      </c>
      <c r="D262" t="s">
        <v>560</v>
      </c>
      <c r="E262" t="s">
        <v>561</v>
      </c>
      <c r="F262">
        <v>954</v>
      </c>
      <c r="G262">
        <v>0</v>
      </c>
      <c r="H262">
        <v>0</v>
      </c>
      <c r="I262">
        <v>0</v>
      </c>
      <c r="J262">
        <v>1</v>
      </c>
      <c r="K262">
        <v>0</v>
      </c>
      <c r="L262">
        <v>0</v>
      </c>
      <c r="M262">
        <v>0</v>
      </c>
      <c r="N262">
        <v>0</v>
      </c>
    </row>
    <row r="263" spans="1:14">
      <c r="A263" t="s">
        <v>160</v>
      </c>
      <c r="B263" t="s">
        <v>887</v>
      </c>
      <c r="C263" t="s">
        <v>572</v>
      </c>
      <c r="D263" t="s">
        <v>888</v>
      </c>
      <c r="E263" t="s">
        <v>561</v>
      </c>
      <c r="F263">
        <v>315</v>
      </c>
      <c r="G263">
        <v>0</v>
      </c>
      <c r="H263">
        <v>0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0</v>
      </c>
    </row>
    <row r="264" spans="1:14">
      <c r="A264" t="s">
        <v>160</v>
      </c>
      <c r="B264" t="s">
        <v>889</v>
      </c>
      <c r="C264" t="s">
        <v>553</v>
      </c>
      <c r="D264" t="s">
        <v>890</v>
      </c>
      <c r="E264" t="s">
        <v>570</v>
      </c>
      <c r="F264">
        <v>1201</v>
      </c>
      <c r="G264">
        <v>1</v>
      </c>
      <c r="H264">
        <v>0</v>
      </c>
      <c r="I264">
        <v>0</v>
      </c>
      <c r="J264">
        <v>1</v>
      </c>
      <c r="K264">
        <v>1</v>
      </c>
      <c r="L264">
        <v>0</v>
      </c>
      <c r="M264">
        <v>0</v>
      </c>
      <c r="N264">
        <v>0</v>
      </c>
    </row>
    <row r="265" spans="1:14">
      <c r="A265" t="s">
        <v>160</v>
      </c>
      <c r="B265" t="s">
        <v>891</v>
      </c>
      <c r="C265" t="s">
        <v>575</v>
      </c>
      <c r="D265" t="s">
        <v>775</v>
      </c>
      <c r="E265" t="s">
        <v>570</v>
      </c>
      <c r="F265">
        <v>531</v>
      </c>
      <c r="G265">
        <v>1</v>
      </c>
      <c r="H265">
        <v>1</v>
      </c>
      <c r="I265">
        <v>102</v>
      </c>
      <c r="J265">
        <v>1</v>
      </c>
      <c r="K265">
        <v>2</v>
      </c>
      <c r="L265">
        <v>0</v>
      </c>
      <c r="M265">
        <v>0</v>
      </c>
      <c r="N265">
        <v>0</v>
      </c>
    </row>
    <row r="266" spans="1:14">
      <c r="A266" t="s">
        <v>160</v>
      </c>
      <c r="B266" t="s">
        <v>892</v>
      </c>
      <c r="C266" t="s">
        <v>553</v>
      </c>
      <c r="D266" t="s">
        <v>780</v>
      </c>
      <c r="E266" t="s">
        <v>570</v>
      </c>
      <c r="F266">
        <v>2081</v>
      </c>
      <c r="G266">
        <v>0</v>
      </c>
      <c r="H266">
        <v>2</v>
      </c>
      <c r="I266">
        <v>0</v>
      </c>
      <c r="J266">
        <v>1</v>
      </c>
      <c r="K266">
        <v>2</v>
      </c>
      <c r="L266">
        <v>0</v>
      </c>
      <c r="M266">
        <v>0</v>
      </c>
      <c r="N266">
        <v>0</v>
      </c>
    </row>
    <row r="267" spans="1:14">
      <c r="A267" t="s">
        <v>160</v>
      </c>
      <c r="B267" t="s">
        <v>893</v>
      </c>
      <c r="C267" t="s">
        <v>557</v>
      </c>
      <c r="I267">
        <v>0</v>
      </c>
      <c r="N267">
        <v>0</v>
      </c>
    </row>
    <row r="268" spans="1:14">
      <c r="A268" t="s">
        <v>160</v>
      </c>
      <c r="B268" t="s">
        <v>894</v>
      </c>
      <c r="C268" t="s">
        <v>553</v>
      </c>
      <c r="D268" t="s">
        <v>895</v>
      </c>
      <c r="E268" t="s">
        <v>896</v>
      </c>
      <c r="F268">
        <v>353</v>
      </c>
      <c r="G268">
        <v>0</v>
      </c>
      <c r="H268">
        <v>0</v>
      </c>
      <c r="I268">
        <v>0</v>
      </c>
      <c r="J268">
        <v>1</v>
      </c>
      <c r="K268">
        <v>0</v>
      </c>
      <c r="L268">
        <v>0</v>
      </c>
      <c r="M268">
        <v>0</v>
      </c>
      <c r="N268">
        <v>0</v>
      </c>
    </row>
    <row r="269" spans="1:14">
      <c r="A269" t="s">
        <v>160</v>
      </c>
      <c r="B269" t="s">
        <v>897</v>
      </c>
      <c r="C269" t="s">
        <v>557</v>
      </c>
      <c r="D269" t="s">
        <v>560</v>
      </c>
      <c r="E269" t="s">
        <v>561</v>
      </c>
      <c r="F269">
        <v>1534</v>
      </c>
      <c r="G269">
        <v>1</v>
      </c>
      <c r="H269">
        <v>0</v>
      </c>
      <c r="I269">
        <v>0</v>
      </c>
      <c r="J269">
        <v>1</v>
      </c>
      <c r="K269">
        <v>1</v>
      </c>
      <c r="L269">
        <v>0</v>
      </c>
      <c r="M269">
        <v>0</v>
      </c>
      <c r="N269">
        <v>0</v>
      </c>
    </row>
    <row r="270" spans="1:14">
      <c r="A270" t="s">
        <v>160</v>
      </c>
      <c r="B270" t="s">
        <v>898</v>
      </c>
      <c r="C270" t="s">
        <v>575</v>
      </c>
      <c r="D270" t="s">
        <v>631</v>
      </c>
      <c r="E270" t="s">
        <v>610</v>
      </c>
      <c r="F270">
        <v>569</v>
      </c>
      <c r="G270">
        <v>3</v>
      </c>
      <c r="H270">
        <v>1</v>
      </c>
      <c r="I270">
        <v>0</v>
      </c>
      <c r="J270">
        <v>1</v>
      </c>
      <c r="K270">
        <v>4</v>
      </c>
      <c r="L270">
        <v>0</v>
      </c>
      <c r="M270">
        <v>0</v>
      </c>
      <c r="N270">
        <v>0</v>
      </c>
    </row>
    <row r="271" spans="1:14">
      <c r="A271" t="s">
        <v>160</v>
      </c>
      <c r="B271" t="s">
        <v>899</v>
      </c>
      <c r="C271" t="s">
        <v>557</v>
      </c>
      <c r="D271" t="s">
        <v>900</v>
      </c>
      <c r="E271" t="s">
        <v>570</v>
      </c>
      <c r="F271">
        <v>2889</v>
      </c>
      <c r="G271">
        <v>0</v>
      </c>
      <c r="H271">
        <v>1</v>
      </c>
      <c r="I271">
        <v>0</v>
      </c>
      <c r="J271">
        <v>1</v>
      </c>
      <c r="K271">
        <v>1</v>
      </c>
      <c r="L271">
        <v>0</v>
      </c>
      <c r="M271">
        <v>0</v>
      </c>
      <c r="N271">
        <v>0</v>
      </c>
    </row>
    <row r="272" spans="1:14">
      <c r="A272" t="s">
        <v>160</v>
      </c>
      <c r="B272" t="s">
        <v>901</v>
      </c>
      <c r="C272" t="s">
        <v>553</v>
      </c>
      <c r="I272">
        <v>0</v>
      </c>
      <c r="N272">
        <v>0</v>
      </c>
    </row>
    <row r="273" spans="1:14">
      <c r="A273" t="s">
        <v>160</v>
      </c>
      <c r="B273" t="s">
        <v>902</v>
      </c>
      <c r="C273" t="s">
        <v>557</v>
      </c>
      <c r="I273">
        <v>0</v>
      </c>
      <c r="N273">
        <v>0</v>
      </c>
    </row>
    <row r="274" spans="1:14">
      <c r="A274" t="s">
        <v>160</v>
      </c>
      <c r="B274" t="s">
        <v>903</v>
      </c>
      <c r="C274" t="s">
        <v>557</v>
      </c>
      <c r="I274">
        <v>0</v>
      </c>
      <c r="N274">
        <v>0</v>
      </c>
    </row>
    <row r="275" spans="1:14">
      <c r="A275" t="s">
        <v>160</v>
      </c>
      <c r="B275" t="s">
        <v>904</v>
      </c>
      <c r="C275" t="s">
        <v>557</v>
      </c>
      <c r="I275">
        <v>0</v>
      </c>
      <c r="N275">
        <v>0</v>
      </c>
    </row>
    <row r="276" spans="1:14">
      <c r="A276" t="s">
        <v>160</v>
      </c>
      <c r="B276" t="s">
        <v>905</v>
      </c>
      <c r="C276" t="s">
        <v>575</v>
      </c>
      <c r="I276">
        <v>0</v>
      </c>
      <c r="N276">
        <v>0</v>
      </c>
    </row>
    <row r="277" spans="1:14">
      <c r="A277" t="s">
        <v>160</v>
      </c>
      <c r="B277" t="s">
        <v>906</v>
      </c>
      <c r="C277" t="s">
        <v>553</v>
      </c>
      <c r="I277">
        <v>0</v>
      </c>
      <c r="N277">
        <v>0</v>
      </c>
    </row>
    <row r="278" spans="1:14">
      <c r="A278" t="s">
        <v>160</v>
      </c>
      <c r="B278" t="s">
        <v>907</v>
      </c>
      <c r="C278" t="s">
        <v>575</v>
      </c>
      <c r="I278">
        <v>0</v>
      </c>
      <c r="N278">
        <v>0</v>
      </c>
    </row>
    <row r="279" spans="1:14">
      <c r="A279" t="s">
        <v>160</v>
      </c>
      <c r="B279" t="s">
        <v>908</v>
      </c>
      <c r="C279" t="s">
        <v>575</v>
      </c>
      <c r="I279">
        <v>0</v>
      </c>
      <c r="N279">
        <v>0</v>
      </c>
    </row>
    <row r="280" spans="1:14">
      <c r="A280" t="s">
        <v>160</v>
      </c>
      <c r="B280" t="s">
        <v>909</v>
      </c>
      <c r="C280" t="s">
        <v>553</v>
      </c>
      <c r="D280" t="s">
        <v>910</v>
      </c>
      <c r="E280" t="s">
        <v>610</v>
      </c>
      <c r="F280">
        <v>707</v>
      </c>
      <c r="G280">
        <v>1</v>
      </c>
      <c r="H280">
        <v>0</v>
      </c>
      <c r="I280">
        <v>0</v>
      </c>
      <c r="J280">
        <v>1</v>
      </c>
      <c r="K280">
        <v>1</v>
      </c>
      <c r="L280">
        <v>0</v>
      </c>
      <c r="M280">
        <v>0</v>
      </c>
      <c r="N280">
        <v>0</v>
      </c>
    </row>
    <row r="281" spans="1:14">
      <c r="A281" t="s">
        <v>160</v>
      </c>
      <c r="B281" t="s">
        <v>911</v>
      </c>
      <c r="C281" t="s">
        <v>575</v>
      </c>
      <c r="I281">
        <v>0</v>
      </c>
      <c r="N281">
        <v>0</v>
      </c>
    </row>
    <row r="282" spans="1:14">
      <c r="A282" t="s">
        <v>160</v>
      </c>
      <c r="B282" t="s">
        <v>912</v>
      </c>
      <c r="C282" t="s">
        <v>553</v>
      </c>
      <c r="I282">
        <v>0</v>
      </c>
      <c r="N282">
        <v>0</v>
      </c>
    </row>
    <row r="283" spans="1:14">
      <c r="A283" t="s">
        <v>160</v>
      </c>
      <c r="B283" t="s">
        <v>913</v>
      </c>
      <c r="C283" t="s">
        <v>553</v>
      </c>
      <c r="I283">
        <v>0</v>
      </c>
      <c r="N283">
        <v>0</v>
      </c>
    </row>
    <row r="284" spans="1:14">
      <c r="A284" t="s">
        <v>160</v>
      </c>
      <c r="B284" t="s">
        <v>914</v>
      </c>
      <c r="C284" t="s">
        <v>572</v>
      </c>
      <c r="I284">
        <v>0</v>
      </c>
      <c r="N284">
        <v>0</v>
      </c>
    </row>
    <row r="285" spans="1:14">
      <c r="A285" t="s">
        <v>160</v>
      </c>
      <c r="B285" t="s">
        <v>915</v>
      </c>
      <c r="C285" t="s">
        <v>572</v>
      </c>
      <c r="I285">
        <v>0</v>
      </c>
      <c r="N285">
        <v>0</v>
      </c>
    </row>
    <row r="286" spans="1:14">
      <c r="A286" t="s">
        <v>160</v>
      </c>
      <c r="B286" t="s">
        <v>916</v>
      </c>
      <c r="C286" t="s">
        <v>575</v>
      </c>
      <c r="I286">
        <v>0</v>
      </c>
      <c r="N286">
        <v>0</v>
      </c>
    </row>
    <row r="287" spans="1:14">
      <c r="A287" t="s">
        <v>160</v>
      </c>
      <c r="B287" t="s">
        <v>917</v>
      </c>
      <c r="C287" t="s">
        <v>557</v>
      </c>
      <c r="I287">
        <v>0</v>
      </c>
      <c r="N287">
        <v>0</v>
      </c>
    </row>
    <row r="288" spans="1:14">
      <c r="A288" t="s">
        <v>125</v>
      </c>
      <c r="B288" t="s">
        <v>918</v>
      </c>
      <c r="C288" t="s">
        <v>572</v>
      </c>
      <c r="I288">
        <v>0</v>
      </c>
      <c r="N288">
        <v>0</v>
      </c>
    </row>
    <row r="289" spans="1:14">
      <c r="A289" t="s">
        <v>125</v>
      </c>
      <c r="B289" t="s">
        <v>919</v>
      </c>
      <c r="C289" t="s">
        <v>557</v>
      </c>
      <c r="I289">
        <v>0</v>
      </c>
      <c r="N289">
        <v>0</v>
      </c>
    </row>
    <row r="290" spans="1:14">
      <c r="A290" t="s">
        <v>125</v>
      </c>
      <c r="B290" t="s">
        <v>920</v>
      </c>
      <c r="C290" t="s">
        <v>557</v>
      </c>
      <c r="D290" t="s">
        <v>675</v>
      </c>
      <c r="E290" t="s">
        <v>555</v>
      </c>
      <c r="F290">
        <v>2472</v>
      </c>
      <c r="G290">
        <v>12</v>
      </c>
      <c r="H290">
        <v>8</v>
      </c>
      <c r="I290">
        <v>0</v>
      </c>
      <c r="J290">
        <v>1</v>
      </c>
      <c r="K290">
        <v>20</v>
      </c>
      <c r="L290">
        <v>0</v>
      </c>
      <c r="M290">
        <v>0</v>
      </c>
      <c r="N290">
        <v>0</v>
      </c>
    </row>
    <row r="291" spans="1:14">
      <c r="A291" t="s">
        <v>125</v>
      </c>
      <c r="B291" t="s">
        <v>921</v>
      </c>
      <c r="C291" t="s">
        <v>553</v>
      </c>
      <c r="D291" t="s">
        <v>633</v>
      </c>
      <c r="E291" t="s">
        <v>561</v>
      </c>
      <c r="F291">
        <v>2061</v>
      </c>
      <c r="G291">
        <v>2</v>
      </c>
      <c r="H291">
        <v>6</v>
      </c>
      <c r="I291">
        <v>0</v>
      </c>
      <c r="J291">
        <v>1</v>
      </c>
      <c r="K291">
        <v>8</v>
      </c>
      <c r="L291">
        <v>0</v>
      </c>
      <c r="M291">
        <v>0</v>
      </c>
      <c r="N291">
        <v>0</v>
      </c>
    </row>
    <row r="292" spans="1:14">
      <c r="A292" t="s">
        <v>125</v>
      </c>
      <c r="B292" t="s">
        <v>922</v>
      </c>
      <c r="C292" t="s">
        <v>553</v>
      </c>
      <c r="D292" t="s">
        <v>717</v>
      </c>
      <c r="E292" t="s">
        <v>566</v>
      </c>
      <c r="F292">
        <v>988</v>
      </c>
      <c r="G292">
        <v>1</v>
      </c>
      <c r="H292">
        <v>0</v>
      </c>
      <c r="I292">
        <v>809</v>
      </c>
      <c r="J292">
        <v>1</v>
      </c>
      <c r="K292">
        <v>1</v>
      </c>
      <c r="L292">
        <v>0</v>
      </c>
      <c r="M292">
        <v>0</v>
      </c>
      <c r="N292">
        <v>1</v>
      </c>
    </row>
    <row r="293" spans="1:14">
      <c r="A293" t="s">
        <v>125</v>
      </c>
      <c r="B293" t="s">
        <v>923</v>
      </c>
      <c r="C293" t="s">
        <v>553</v>
      </c>
      <c r="D293" t="s">
        <v>691</v>
      </c>
      <c r="E293" t="s">
        <v>570</v>
      </c>
      <c r="F293">
        <v>1101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</row>
    <row r="294" spans="1:14">
      <c r="A294" t="s">
        <v>125</v>
      </c>
      <c r="B294" t="s">
        <v>924</v>
      </c>
      <c r="C294" t="s">
        <v>553</v>
      </c>
      <c r="I294">
        <v>0</v>
      </c>
      <c r="N294">
        <v>0</v>
      </c>
    </row>
    <row r="295" spans="1:14">
      <c r="A295" t="s">
        <v>125</v>
      </c>
      <c r="B295" t="s">
        <v>925</v>
      </c>
      <c r="C295" t="s">
        <v>557</v>
      </c>
      <c r="D295" t="s">
        <v>926</v>
      </c>
      <c r="E295" t="s">
        <v>570</v>
      </c>
      <c r="F295">
        <v>2075</v>
      </c>
      <c r="G295">
        <v>2</v>
      </c>
      <c r="H295">
        <v>2</v>
      </c>
      <c r="I295">
        <v>0</v>
      </c>
      <c r="J295">
        <v>1</v>
      </c>
      <c r="K295">
        <v>4</v>
      </c>
      <c r="L295">
        <v>0</v>
      </c>
      <c r="M295">
        <v>0</v>
      </c>
      <c r="N295">
        <v>0</v>
      </c>
    </row>
    <row r="296" spans="1:14">
      <c r="A296" t="s">
        <v>125</v>
      </c>
      <c r="B296" t="s">
        <v>927</v>
      </c>
      <c r="C296" t="s">
        <v>575</v>
      </c>
      <c r="D296" t="s">
        <v>616</v>
      </c>
      <c r="E296" t="s">
        <v>566</v>
      </c>
      <c r="F296">
        <v>1142</v>
      </c>
      <c r="G296">
        <v>5</v>
      </c>
      <c r="H296">
        <v>4</v>
      </c>
      <c r="I296">
        <v>286</v>
      </c>
      <c r="J296">
        <v>1</v>
      </c>
      <c r="K296">
        <v>9</v>
      </c>
      <c r="L296">
        <v>1</v>
      </c>
      <c r="M296">
        <v>0.70930000000000004</v>
      </c>
      <c r="N296">
        <v>0</v>
      </c>
    </row>
    <row r="297" spans="1:14">
      <c r="A297" t="s">
        <v>125</v>
      </c>
      <c r="B297" t="s">
        <v>928</v>
      </c>
      <c r="C297" t="s">
        <v>575</v>
      </c>
      <c r="D297" t="s">
        <v>824</v>
      </c>
      <c r="E297" t="s">
        <v>610</v>
      </c>
      <c r="F297">
        <v>2393</v>
      </c>
      <c r="G297">
        <v>7</v>
      </c>
      <c r="H297">
        <v>8</v>
      </c>
      <c r="I297">
        <v>608</v>
      </c>
      <c r="J297">
        <v>1</v>
      </c>
      <c r="K297">
        <v>15</v>
      </c>
      <c r="L297">
        <v>1</v>
      </c>
      <c r="M297">
        <v>0.56410000000000005</v>
      </c>
      <c r="N297">
        <v>0</v>
      </c>
    </row>
    <row r="298" spans="1:14">
      <c r="A298" t="s">
        <v>125</v>
      </c>
      <c r="B298" t="s">
        <v>929</v>
      </c>
      <c r="C298" t="s">
        <v>557</v>
      </c>
      <c r="I298">
        <v>0</v>
      </c>
      <c r="N298">
        <v>0</v>
      </c>
    </row>
    <row r="299" spans="1:14">
      <c r="A299" t="s">
        <v>125</v>
      </c>
      <c r="B299" t="s">
        <v>930</v>
      </c>
      <c r="C299" t="s">
        <v>557</v>
      </c>
      <c r="D299" t="s">
        <v>604</v>
      </c>
      <c r="E299" t="s">
        <v>570</v>
      </c>
      <c r="F299">
        <v>2341</v>
      </c>
      <c r="G299">
        <v>2</v>
      </c>
      <c r="H299">
        <v>3</v>
      </c>
      <c r="I299">
        <v>0</v>
      </c>
      <c r="J299">
        <v>1</v>
      </c>
      <c r="K299">
        <v>5</v>
      </c>
      <c r="L299">
        <v>0</v>
      </c>
      <c r="M299">
        <v>0</v>
      </c>
      <c r="N299">
        <v>0</v>
      </c>
    </row>
    <row r="300" spans="1:14">
      <c r="A300" t="s">
        <v>125</v>
      </c>
      <c r="B300" t="s">
        <v>931</v>
      </c>
      <c r="C300" t="s">
        <v>553</v>
      </c>
      <c r="I300">
        <v>482</v>
      </c>
      <c r="N300">
        <v>1</v>
      </c>
    </row>
    <row r="301" spans="1:14">
      <c r="A301" t="s">
        <v>125</v>
      </c>
      <c r="B301" t="s">
        <v>932</v>
      </c>
      <c r="C301" t="s">
        <v>575</v>
      </c>
      <c r="D301" t="s">
        <v>933</v>
      </c>
      <c r="E301" t="s">
        <v>934</v>
      </c>
      <c r="F301">
        <v>1246</v>
      </c>
      <c r="G301">
        <v>4</v>
      </c>
      <c r="H301">
        <v>2</v>
      </c>
      <c r="I301">
        <v>55</v>
      </c>
      <c r="J301">
        <v>1</v>
      </c>
      <c r="K301">
        <v>6</v>
      </c>
      <c r="L301">
        <v>1</v>
      </c>
      <c r="M301">
        <v>0.43340000000000001</v>
      </c>
      <c r="N301">
        <v>0</v>
      </c>
    </row>
    <row r="302" spans="1:14">
      <c r="A302" t="s">
        <v>125</v>
      </c>
      <c r="B302" t="s">
        <v>935</v>
      </c>
      <c r="C302" t="s">
        <v>557</v>
      </c>
      <c r="D302" t="s">
        <v>936</v>
      </c>
      <c r="E302" t="s">
        <v>561</v>
      </c>
      <c r="F302">
        <v>655</v>
      </c>
      <c r="G302">
        <v>1</v>
      </c>
      <c r="H302">
        <v>0</v>
      </c>
      <c r="I302">
        <v>0</v>
      </c>
      <c r="J302">
        <v>1</v>
      </c>
      <c r="K302">
        <v>1</v>
      </c>
      <c r="L302">
        <v>0</v>
      </c>
      <c r="M302">
        <v>0</v>
      </c>
      <c r="N302">
        <v>0</v>
      </c>
    </row>
    <row r="303" spans="1:14">
      <c r="A303" t="s">
        <v>125</v>
      </c>
      <c r="B303" t="s">
        <v>937</v>
      </c>
      <c r="C303" t="s">
        <v>553</v>
      </c>
      <c r="I303">
        <v>615</v>
      </c>
      <c r="N303">
        <v>1</v>
      </c>
    </row>
    <row r="304" spans="1:14">
      <c r="A304" t="s">
        <v>125</v>
      </c>
      <c r="B304" t="s">
        <v>938</v>
      </c>
      <c r="C304" t="s">
        <v>553</v>
      </c>
      <c r="I304">
        <v>0</v>
      </c>
      <c r="N304">
        <v>0</v>
      </c>
    </row>
    <row r="305" spans="1:14">
      <c r="A305" t="s">
        <v>125</v>
      </c>
      <c r="B305" t="s">
        <v>939</v>
      </c>
      <c r="C305" t="s">
        <v>557</v>
      </c>
      <c r="D305" t="s">
        <v>695</v>
      </c>
      <c r="E305" t="s">
        <v>555</v>
      </c>
      <c r="F305">
        <v>2308</v>
      </c>
      <c r="G305">
        <v>5</v>
      </c>
      <c r="H305">
        <v>9</v>
      </c>
      <c r="I305">
        <v>0</v>
      </c>
      <c r="J305">
        <v>1</v>
      </c>
      <c r="K305">
        <v>14</v>
      </c>
      <c r="L305">
        <v>0</v>
      </c>
      <c r="M305">
        <v>0</v>
      </c>
      <c r="N305">
        <v>0</v>
      </c>
    </row>
    <row r="306" spans="1:14">
      <c r="A306" t="s">
        <v>125</v>
      </c>
      <c r="B306" t="s">
        <v>940</v>
      </c>
      <c r="C306" t="s">
        <v>575</v>
      </c>
      <c r="I306">
        <v>0</v>
      </c>
      <c r="N306">
        <v>0</v>
      </c>
    </row>
    <row r="307" spans="1:14">
      <c r="A307" t="s">
        <v>125</v>
      </c>
      <c r="B307" t="s">
        <v>941</v>
      </c>
      <c r="C307" t="s">
        <v>575</v>
      </c>
      <c r="D307" t="s">
        <v>942</v>
      </c>
      <c r="E307" t="s">
        <v>570</v>
      </c>
      <c r="F307">
        <v>918</v>
      </c>
      <c r="G307">
        <v>1</v>
      </c>
      <c r="H307">
        <v>2</v>
      </c>
      <c r="I307">
        <v>0</v>
      </c>
      <c r="J307">
        <v>1</v>
      </c>
      <c r="K307">
        <v>3</v>
      </c>
      <c r="L307">
        <v>1</v>
      </c>
      <c r="M307">
        <v>0.29409999999999997</v>
      </c>
      <c r="N307">
        <v>0</v>
      </c>
    </row>
    <row r="308" spans="1:14">
      <c r="A308" t="s">
        <v>125</v>
      </c>
      <c r="B308" t="s">
        <v>943</v>
      </c>
      <c r="C308" t="s">
        <v>575</v>
      </c>
      <c r="D308" t="s">
        <v>944</v>
      </c>
      <c r="E308" t="s">
        <v>896</v>
      </c>
      <c r="F308">
        <v>1508</v>
      </c>
      <c r="G308">
        <v>4</v>
      </c>
      <c r="H308">
        <v>2</v>
      </c>
      <c r="I308">
        <v>86</v>
      </c>
      <c r="J308">
        <v>1</v>
      </c>
      <c r="K308">
        <v>6</v>
      </c>
      <c r="L308">
        <v>1</v>
      </c>
      <c r="M308">
        <v>0.35809999999999997</v>
      </c>
      <c r="N308">
        <v>0</v>
      </c>
    </row>
    <row r="309" spans="1:14">
      <c r="A309" t="s">
        <v>125</v>
      </c>
      <c r="B309" t="s">
        <v>945</v>
      </c>
      <c r="C309" t="s">
        <v>557</v>
      </c>
      <c r="I309">
        <v>0</v>
      </c>
      <c r="N309">
        <v>0</v>
      </c>
    </row>
    <row r="310" spans="1:14">
      <c r="A310" t="s">
        <v>125</v>
      </c>
      <c r="B310" t="s">
        <v>946</v>
      </c>
      <c r="C310" t="s">
        <v>557</v>
      </c>
      <c r="I310">
        <v>0</v>
      </c>
      <c r="N310">
        <v>0</v>
      </c>
    </row>
    <row r="311" spans="1:14">
      <c r="A311" t="s">
        <v>125</v>
      </c>
      <c r="B311" t="s">
        <v>947</v>
      </c>
      <c r="C311" t="s">
        <v>572</v>
      </c>
      <c r="I311">
        <v>0</v>
      </c>
      <c r="N311">
        <v>0</v>
      </c>
    </row>
    <row r="312" spans="1:14">
      <c r="A312" t="s">
        <v>125</v>
      </c>
      <c r="B312" t="s">
        <v>948</v>
      </c>
      <c r="C312" t="s">
        <v>572</v>
      </c>
      <c r="I312">
        <v>0</v>
      </c>
      <c r="N312">
        <v>0</v>
      </c>
    </row>
    <row r="313" spans="1:14">
      <c r="A313" t="s">
        <v>125</v>
      </c>
      <c r="B313" t="s">
        <v>949</v>
      </c>
      <c r="C313" t="s">
        <v>553</v>
      </c>
      <c r="D313" t="s">
        <v>950</v>
      </c>
      <c r="E313" t="s">
        <v>566</v>
      </c>
      <c r="F313">
        <v>2680</v>
      </c>
      <c r="G313">
        <v>3</v>
      </c>
      <c r="H313">
        <v>0</v>
      </c>
      <c r="I313">
        <v>0</v>
      </c>
      <c r="J313">
        <v>1</v>
      </c>
      <c r="K313">
        <v>3</v>
      </c>
      <c r="L313">
        <v>0</v>
      </c>
      <c r="M313">
        <v>0</v>
      </c>
      <c r="N313">
        <v>0</v>
      </c>
    </row>
    <row r="314" spans="1:14">
      <c r="A314" t="s">
        <v>159</v>
      </c>
      <c r="B314" t="s">
        <v>951</v>
      </c>
      <c r="C314" t="s">
        <v>572</v>
      </c>
      <c r="I314">
        <v>0</v>
      </c>
      <c r="N314">
        <v>0</v>
      </c>
    </row>
    <row r="315" spans="1:14">
      <c r="A315" t="s">
        <v>159</v>
      </c>
      <c r="B315" t="s">
        <v>952</v>
      </c>
      <c r="C315" t="s">
        <v>557</v>
      </c>
      <c r="I315">
        <v>533</v>
      </c>
      <c r="N315">
        <v>0</v>
      </c>
    </row>
    <row r="316" spans="1:14">
      <c r="A316" t="s">
        <v>159</v>
      </c>
      <c r="B316" t="s">
        <v>953</v>
      </c>
      <c r="C316" t="s">
        <v>553</v>
      </c>
      <c r="D316" t="s">
        <v>668</v>
      </c>
      <c r="E316" t="s">
        <v>555</v>
      </c>
      <c r="F316">
        <v>1857</v>
      </c>
      <c r="G316">
        <v>2</v>
      </c>
      <c r="H316">
        <v>3</v>
      </c>
      <c r="I316">
        <v>764</v>
      </c>
      <c r="J316">
        <v>1</v>
      </c>
      <c r="K316">
        <v>5</v>
      </c>
      <c r="L316">
        <v>0</v>
      </c>
      <c r="M316">
        <v>0</v>
      </c>
      <c r="N316">
        <v>1</v>
      </c>
    </row>
    <row r="317" spans="1:14">
      <c r="A317" t="s">
        <v>159</v>
      </c>
      <c r="B317" t="s">
        <v>954</v>
      </c>
      <c r="C317" t="s">
        <v>553</v>
      </c>
      <c r="I317">
        <v>403</v>
      </c>
      <c r="N317">
        <v>1</v>
      </c>
    </row>
    <row r="318" spans="1:14">
      <c r="A318" t="s">
        <v>159</v>
      </c>
      <c r="B318" t="s">
        <v>955</v>
      </c>
      <c r="C318" t="s">
        <v>557</v>
      </c>
      <c r="D318" t="s">
        <v>629</v>
      </c>
      <c r="E318" t="s">
        <v>566</v>
      </c>
      <c r="F318">
        <v>1569</v>
      </c>
      <c r="G318">
        <v>6</v>
      </c>
      <c r="H318">
        <v>3</v>
      </c>
      <c r="I318">
        <v>0</v>
      </c>
      <c r="J318">
        <v>1</v>
      </c>
      <c r="K318">
        <v>9</v>
      </c>
      <c r="L318">
        <v>0</v>
      </c>
      <c r="M318">
        <v>0</v>
      </c>
      <c r="N318">
        <v>0</v>
      </c>
    </row>
    <row r="319" spans="1:14">
      <c r="A319" t="s">
        <v>159</v>
      </c>
      <c r="B319" t="s">
        <v>956</v>
      </c>
      <c r="C319" t="s">
        <v>557</v>
      </c>
      <c r="D319" t="s">
        <v>729</v>
      </c>
      <c r="E319" t="s">
        <v>566</v>
      </c>
      <c r="F319">
        <v>2811</v>
      </c>
      <c r="G319">
        <v>2</v>
      </c>
      <c r="H319">
        <v>3</v>
      </c>
      <c r="I319">
        <v>0</v>
      </c>
      <c r="J319">
        <v>1</v>
      </c>
      <c r="K319">
        <v>5</v>
      </c>
      <c r="L319">
        <v>0</v>
      </c>
      <c r="M319">
        <v>0</v>
      </c>
      <c r="N319">
        <v>0</v>
      </c>
    </row>
    <row r="320" spans="1:14">
      <c r="A320" t="s">
        <v>159</v>
      </c>
      <c r="B320" t="s">
        <v>957</v>
      </c>
      <c r="C320" t="s">
        <v>557</v>
      </c>
      <c r="D320" t="s">
        <v>616</v>
      </c>
      <c r="E320" t="s">
        <v>566</v>
      </c>
      <c r="F320">
        <v>1765</v>
      </c>
      <c r="G320">
        <v>2</v>
      </c>
      <c r="H320">
        <v>2</v>
      </c>
      <c r="I320">
        <v>485</v>
      </c>
      <c r="J320">
        <v>1</v>
      </c>
      <c r="K320">
        <v>4</v>
      </c>
      <c r="L320">
        <v>0</v>
      </c>
      <c r="M320">
        <v>0</v>
      </c>
      <c r="N320">
        <v>0</v>
      </c>
    </row>
    <row r="321" spans="1:14">
      <c r="A321" t="s">
        <v>159</v>
      </c>
      <c r="B321" t="s">
        <v>958</v>
      </c>
      <c r="C321" t="s">
        <v>557</v>
      </c>
      <c r="D321" t="s">
        <v>569</v>
      </c>
      <c r="E321" t="s">
        <v>570</v>
      </c>
      <c r="F321">
        <v>130</v>
      </c>
      <c r="G321">
        <v>0</v>
      </c>
      <c r="H321">
        <v>1</v>
      </c>
      <c r="I321">
        <v>34</v>
      </c>
      <c r="J321">
        <v>1</v>
      </c>
      <c r="K321">
        <v>1</v>
      </c>
      <c r="L321">
        <v>0</v>
      </c>
      <c r="M321">
        <v>0</v>
      </c>
      <c r="N321">
        <v>0</v>
      </c>
    </row>
    <row r="322" spans="1:14">
      <c r="A322" t="s">
        <v>159</v>
      </c>
      <c r="B322" t="s">
        <v>959</v>
      </c>
      <c r="C322" t="s">
        <v>553</v>
      </c>
      <c r="D322" t="s">
        <v>749</v>
      </c>
      <c r="E322" t="s">
        <v>566</v>
      </c>
      <c r="F322">
        <v>2918</v>
      </c>
      <c r="G322">
        <v>0</v>
      </c>
      <c r="H322">
        <v>0</v>
      </c>
      <c r="I322">
        <v>0</v>
      </c>
      <c r="J322">
        <v>1</v>
      </c>
      <c r="K322">
        <v>0</v>
      </c>
      <c r="L322">
        <v>0</v>
      </c>
      <c r="M322">
        <v>0</v>
      </c>
      <c r="N322">
        <v>0</v>
      </c>
    </row>
    <row r="323" spans="1:14">
      <c r="A323" t="s">
        <v>159</v>
      </c>
      <c r="B323" t="s">
        <v>960</v>
      </c>
      <c r="C323" t="s">
        <v>557</v>
      </c>
      <c r="D323" t="s">
        <v>961</v>
      </c>
      <c r="E323" t="s">
        <v>566</v>
      </c>
      <c r="F323">
        <v>3043</v>
      </c>
      <c r="G323">
        <v>3</v>
      </c>
      <c r="H323">
        <v>3</v>
      </c>
      <c r="I323">
        <v>0</v>
      </c>
      <c r="J323">
        <v>1</v>
      </c>
      <c r="K323">
        <v>6</v>
      </c>
      <c r="L323">
        <v>0</v>
      </c>
      <c r="M323">
        <v>0</v>
      </c>
      <c r="N323">
        <v>0</v>
      </c>
    </row>
    <row r="324" spans="1:14">
      <c r="A324" t="s">
        <v>159</v>
      </c>
      <c r="B324" t="s">
        <v>962</v>
      </c>
      <c r="C324" t="s">
        <v>575</v>
      </c>
      <c r="D324" t="s">
        <v>963</v>
      </c>
      <c r="E324" t="s">
        <v>610</v>
      </c>
      <c r="F324">
        <v>2938</v>
      </c>
      <c r="G324">
        <v>11</v>
      </c>
      <c r="H324">
        <v>0</v>
      </c>
      <c r="I324">
        <v>0</v>
      </c>
      <c r="J324">
        <v>1</v>
      </c>
      <c r="K324">
        <v>11</v>
      </c>
      <c r="L324">
        <v>1</v>
      </c>
      <c r="M324">
        <v>0.33700000000000002</v>
      </c>
      <c r="N324">
        <v>0</v>
      </c>
    </row>
    <row r="325" spans="1:14">
      <c r="A325" t="s">
        <v>159</v>
      </c>
      <c r="B325" t="s">
        <v>964</v>
      </c>
      <c r="C325" t="s">
        <v>553</v>
      </c>
      <c r="D325" t="s">
        <v>569</v>
      </c>
      <c r="E325" t="s">
        <v>570</v>
      </c>
      <c r="F325">
        <v>1372</v>
      </c>
      <c r="G325">
        <v>2</v>
      </c>
      <c r="H325">
        <v>2</v>
      </c>
      <c r="I325">
        <v>439</v>
      </c>
      <c r="J325">
        <v>1</v>
      </c>
      <c r="K325">
        <v>4</v>
      </c>
      <c r="L325">
        <v>0</v>
      </c>
      <c r="M325">
        <v>0</v>
      </c>
      <c r="N325">
        <v>1</v>
      </c>
    </row>
    <row r="326" spans="1:14">
      <c r="A326" t="s">
        <v>159</v>
      </c>
      <c r="B326" t="s">
        <v>965</v>
      </c>
      <c r="C326" t="s">
        <v>575</v>
      </c>
      <c r="I326">
        <v>0</v>
      </c>
      <c r="N326">
        <v>0</v>
      </c>
    </row>
    <row r="327" spans="1:14">
      <c r="A327" t="s">
        <v>159</v>
      </c>
      <c r="B327" t="s">
        <v>966</v>
      </c>
      <c r="C327" t="s">
        <v>557</v>
      </c>
      <c r="D327" t="s">
        <v>717</v>
      </c>
      <c r="E327" t="s">
        <v>566</v>
      </c>
      <c r="F327">
        <v>1936</v>
      </c>
      <c r="G327">
        <v>3</v>
      </c>
      <c r="H327">
        <v>4</v>
      </c>
      <c r="I327">
        <v>606</v>
      </c>
      <c r="J327">
        <v>1</v>
      </c>
      <c r="K327">
        <v>7</v>
      </c>
      <c r="L327">
        <v>0</v>
      </c>
      <c r="M327">
        <v>0</v>
      </c>
      <c r="N327">
        <v>0</v>
      </c>
    </row>
    <row r="328" spans="1:14">
      <c r="A328" t="s">
        <v>159</v>
      </c>
      <c r="B328" t="s">
        <v>967</v>
      </c>
      <c r="C328" t="s">
        <v>557</v>
      </c>
      <c r="I328">
        <v>0</v>
      </c>
      <c r="N328">
        <v>0</v>
      </c>
    </row>
    <row r="329" spans="1:14">
      <c r="A329" t="s">
        <v>159</v>
      </c>
      <c r="B329" t="s">
        <v>968</v>
      </c>
      <c r="C329" t="s">
        <v>553</v>
      </c>
      <c r="D329" t="s">
        <v>969</v>
      </c>
      <c r="E329" t="s">
        <v>555</v>
      </c>
      <c r="F329">
        <v>2442</v>
      </c>
      <c r="G329">
        <v>5</v>
      </c>
      <c r="H329">
        <v>0</v>
      </c>
      <c r="I329">
        <v>0</v>
      </c>
      <c r="J329">
        <v>1</v>
      </c>
      <c r="K329">
        <v>5</v>
      </c>
      <c r="L329">
        <v>0</v>
      </c>
      <c r="M329">
        <v>0</v>
      </c>
      <c r="N329">
        <v>0</v>
      </c>
    </row>
    <row r="330" spans="1:14">
      <c r="A330" t="s">
        <v>159</v>
      </c>
      <c r="B330" t="s">
        <v>970</v>
      </c>
      <c r="C330" t="s">
        <v>575</v>
      </c>
      <c r="D330" t="s">
        <v>686</v>
      </c>
      <c r="E330" t="s">
        <v>555</v>
      </c>
      <c r="F330">
        <v>1571</v>
      </c>
      <c r="G330">
        <v>10</v>
      </c>
      <c r="H330">
        <v>2</v>
      </c>
      <c r="I330">
        <v>0</v>
      </c>
      <c r="J330">
        <v>1</v>
      </c>
      <c r="K330">
        <v>12</v>
      </c>
      <c r="L330">
        <v>1</v>
      </c>
      <c r="M330">
        <v>0.6875</v>
      </c>
      <c r="N330">
        <v>0</v>
      </c>
    </row>
    <row r="331" spans="1:14">
      <c r="A331" t="s">
        <v>159</v>
      </c>
      <c r="B331" t="s">
        <v>971</v>
      </c>
      <c r="C331" t="s">
        <v>575</v>
      </c>
      <c r="D331" t="s">
        <v>695</v>
      </c>
      <c r="E331" t="s">
        <v>555</v>
      </c>
      <c r="F331">
        <v>2207</v>
      </c>
      <c r="G331">
        <v>9</v>
      </c>
      <c r="H331">
        <v>6</v>
      </c>
      <c r="I331">
        <v>0</v>
      </c>
      <c r="J331">
        <v>1</v>
      </c>
      <c r="K331">
        <v>15</v>
      </c>
      <c r="L331">
        <v>1</v>
      </c>
      <c r="M331">
        <v>0.61170000000000002</v>
      </c>
      <c r="N331">
        <v>0</v>
      </c>
    </row>
    <row r="332" spans="1:14">
      <c r="A332" t="s">
        <v>159</v>
      </c>
      <c r="B332" t="s">
        <v>972</v>
      </c>
      <c r="C332" t="s">
        <v>575</v>
      </c>
      <c r="D332" t="s">
        <v>973</v>
      </c>
      <c r="E332" t="s">
        <v>610</v>
      </c>
      <c r="F332">
        <v>1022</v>
      </c>
      <c r="G332">
        <v>3</v>
      </c>
      <c r="H332">
        <v>1</v>
      </c>
      <c r="I332">
        <v>0</v>
      </c>
      <c r="J332">
        <v>1</v>
      </c>
      <c r="K332">
        <v>4</v>
      </c>
      <c r="L332">
        <v>1</v>
      </c>
      <c r="M332">
        <v>0.3523</v>
      </c>
      <c r="N332">
        <v>0</v>
      </c>
    </row>
    <row r="333" spans="1:14">
      <c r="A333" t="s">
        <v>159</v>
      </c>
      <c r="B333" t="s">
        <v>974</v>
      </c>
      <c r="C333" t="s">
        <v>553</v>
      </c>
      <c r="D333" t="s">
        <v>973</v>
      </c>
      <c r="E333" t="s">
        <v>610</v>
      </c>
      <c r="F333">
        <v>2150</v>
      </c>
      <c r="G333">
        <v>1</v>
      </c>
      <c r="H333">
        <v>0</v>
      </c>
      <c r="I333">
        <v>0</v>
      </c>
      <c r="J333">
        <v>1</v>
      </c>
      <c r="K333">
        <v>1</v>
      </c>
      <c r="L333">
        <v>0</v>
      </c>
      <c r="M333">
        <v>0</v>
      </c>
      <c r="N333">
        <v>0</v>
      </c>
    </row>
    <row r="334" spans="1:14">
      <c r="A334" t="s">
        <v>159</v>
      </c>
      <c r="B334" t="s">
        <v>975</v>
      </c>
      <c r="C334" t="s">
        <v>553</v>
      </c>
      <c r="I334">
        <v>0</v>
      </c>
      <c r="N334">
        <v>0</v>
      </c>
    </row>
    <row r="335" spans="1:14">
      <c r="A335" t="s">
        <v>159</v>
      </c>
      <c r="B335" t="s">
        <v>976</v>
      </c>
      <c r="C335" t="s">
        <v>575</v>
      </c>
      <c r="I335">
        <v>0</v>
      </c>
      <c r="N335">
        <v>0</v>
      </c>
    </row>
    <row r="336" spans="1:14">
      <c r="A336" t="s">
        <v>159</v>
      </c>
      <c r="B336" t="s">
        <v>977</v>
      </c>
      <c r="C336" t="s">
        <v>553</v>
      </c>
      <c r="D336" t="s">
        <v>684</v>
      </c>
      <c r="E336" t="s">
        <v>555</v>
      </c>
      <c r="F336">
        <v>1653</v>
      </c>
      <c r="G336">
        <v>2</v>
      </c>
      <c r="H336">
        <v>1</v>
      </c>
      <c r="I336">
        <v>0</v>
      </c>
      <c r="J336">
        <v>1</v>
      </c>
      <c r="K336">
        <v>3</v>
      </c>
      <c r="L336">
        <v>0</v>
      </c>
      <c r="M336">
        <v>0</v>
      </c>
      <c r="N336">
        <v>0</v>
      </c>
    </row>
    <row r="337" spans="1:14">
      <c r="A337" t="s">
        <v>159</v>
      </c>
      <c r="B337" t="s">
        <v>978</v>
      </c>
      <c r="C337" t="s">
        <v>572</v>
      </c>
      <c r="I337">
        <v>720</v>
      </c>
      <c r="N337">
        <v>1</v>
      </c>
    </row>
    <row r="338" spans="1:14">
      <c r="A338" t="s">
        <v>159</v>
      </c>
      <c r="B338" t="s">
        <v>979</v>
      </c>
      <c r="C338" t="s">
        <v>557</v>
      </c>
      <c r="D338" t="s">
        <v>859</v>
      </c>
      <c r="E338" t="s">
        <v>566</v>
      </c>
      <c r="F338">
        <v>1799</v>
      </c>
      <c r="G338">
        <v>2</v>
      </c>
      <c r="H338">
        <v>0</v>
      </c>
      <c r="I338">
        <v>0</v>
      </c>
      <c r="J338">
        <v>1</v>
      </c>
      <c r="K338">
        <v>2</v>
      </c>
      <c r="L338">
        <v>0</v>
      </c>
      <c r="M338">
        <v>0</v>
      </c>
      <c r="N338">
        <v>0</v>
      </c>
    </row>
    <row r="339" spans="1:14">
      <c r="A339" t="s">
        <v>159</v>
      </c>
      <c r="B339" t="s">
        <v>980</v>
      </c>
      <c r="C339" t="s">
        <v>572</v>
      </c>
      <c r="I339">
        <v>0</v>
      </c>
      <c r="N339">
        <v>0</v>
      </c>
    </row>
    <row r="340" spans="1:14">
      <c r="A340" t="s">
        <v>153</v>
      </c>
      <c r="B340" t="s">
        <v>981</v>
      </c>
      <c r="C340" t="s">
        <v>557</v>
      </c>
      <c r="I340">
        <v>0</v>
      </c>
      <c r="N340">
        <v>0</v>
      </c>
    </row>
    <row r="341" spans="1:14">
      <c r="A341" t="s">
        <v>153</v>
      </c>
      <c r="B341" t="s">
        <v>982</v>
      </c>
      <c r="C341" t="s">
        <v>553</v>
      </c>
      <c r="I341">
        <v>0</v>
      </c>
      <c r="N341">
        <v>0</v>
      </c>
    </row>
    <row r="342" spans="1:14">
      <c r="A342" t="s">
        <v>153</v>
      </c>
      <c r="B342" t="s">
        <v>983</v>
      </c>
      <c r="C342" t="s">
        <v>553</v>
      </c>
      <c r="I342">
        <v>324</v>
      </c>
      <c r="N342">
        <v>1</v>
      </c>
    </row>
    <row r="343" spans="1:14">
      <c r="A343" t="s">
        <v>153</v>
      </c>
      <c r="B343" t="s">
        <v>984</v>
      </c>
      <c r="C343" t="s">
        <v>572</v>
      </c>
      <c r="I343">
        <v>0</v>
      </c>
      <c r="N343">
        <v>0</v>
      </c>
    </row>
    <row r="344" spans="1:14">
      <c r="A344" t="s">
        <v>153</v>
      </c>
      <c r="B344" t="s">
        <v>985</v>
      </c>
      <c r="C344" t="s">
        <v>557</v>
      </c>
      <c r="I344">
        <v>0</v>
      </c>
      <c r="N344">
        <v>0</v>
      </c>
    </row>
    <row r="345" spans="1:14">
      <c r="A345" t="s">
        <v>153</v>
      </c>
      <c r="B345" t="s">
        <v>986</v>
      </c>
      <c r="C345" t="s">
        <v>557</v>
      </c>
      <c r="I345">
        <v>0</v>
      </c>
      <c r="N345">
        <v>0</v>
      </c>
    </row>
    <row r="346" spans="1:14">
      <c r="A346" t="s">
        <v>153</v>
      </c>
      <c r="B346" t="s">
        <v>987</v>
      </c>
      <c r="C346" t="s">
        <v>553</v>
      </c>
      <c r="I346">
        <v>0</v>
      </c>
      <c r="N346">
        <v>0</v>
      </c>
    </row>
    <row r="347" spans="1:14">
      <c r="A347" t="s">
        <v>153</v>
      </c>
      <c r="B347" t="s">
        <v>988</v>
      </c>
      <c r="C347" t="s">
        <v>575</v>
      </c>
      <c r="I347">
        <v>0</v>
      </c>
      <c r="N347">
        <v>0</v>
      </c>
    </row>
    <row r="348" spans="1:14">
      <c r="A348" t="s">
        <v>153</v>
      </c>
      <c r="B348" t="s">
        <v>989</v>
      </c>
      <c r="C348" t="s">
        <v>557</v>
      </c>
      <c r="I348">
        <v>0</v>
      </c>
      <c r="N348">
        <v>0</v>
      </c>
    </row>
    <row r="349" spans="1:14">
      <c r="A349" t="s">
        <v>153</v>
      </c>
      <c r="B349" t="s">
        <v>990</v>
      </c>
      <c r="C349" t="s">
        <v>553</v>
      </c>
      <c r="I349">
        <v>0</v>
      </c>
      <c r="N349">
        <v>0</v>
      </c>
    </row>
    <row r="350" spans="1:14">
      <c r="A350" t="s">
        <v>153</v>
      </c>
      <c r="B350" t="s">
        <v>991</v>
      </c>
      <c r="C350" t="s">
        <v>553</v>
      </c>
      <c r="I350">
        <v>0</v>
      </c>
      <c r="N350">
        <v>0</v>
      </c>
    </row>
    <row r="351" spans="1:14">
      <c r="A351" t="s">
        <v>153</v>
      </c>
      <c r="B351" t="s">
        <v>992</v>
      </c>
      <c r="C351" t="s">
        <v>553</v>
      </c>
      <c r="I351">
        <v>0</v>
      </c>
      <c r="N351">
        <v>0</v>
      </c>
    </row>
    <row r="352" spans="1:14">
      <c r="A352" t="s">
        <v>153</v>
      </c>
      <c r="B352" t="s">
        <v>993</v>
      </c>
      <c r="C352" t="s">
        <v>575</v>
      </c>
      <c r="I352">
        <v>0</v>
      </c>
      <c r="N352">
        <v>0</v>
      </c>
    </row>
    <row r="353" spans="1:14">
      <c r="A353" t="s">
        <v>153</v>
      </c>
      <c r="B353" t="s">
        <v>994</v>
      </c>
      <c r="C353" t="s">
        <v>575</v>
      </c>
      <c r="I353">
        <v>0</v>
      </c>
      <c r="N353">
        <v>0</v>
      </c>
    </row>
    <row r="354" spans="1:14">
      <c r="A354" t="s">
        <v>153</v>
      </c>
      <c r="B354" t="s">
        <v>995</v>
      </c>
      <c r="C354" t="s">
        <v>575</v>
      </c>
      <c r="I354">
        <v>0</v>
      </c>
      <c r="N354">
        <v>0</v>
      </c>
    </row>
    <row r="355" spans="1:14">
      <c r="A355" t="s">
        <v>153</v>
      </c>
      <c r="B355" t="s">
        <v>996</v>
      </c>
      <c r="C355" t="s">
        <v>575</v>
      </c>
      <c r="I355">
        <v>0</v>
      </c>
      <c r="N355">
        <v>0</v>
      </c>
    </row>
    <row r="356" spans="1:14">
      <c r="A356" t="s">
        <v>153</v>
      </c>
      <c r="B356" t="s">
        <v>997</v>
      </c>
      <c r="C356" t="s">
        <v>575</v>
      </c>
      <c r="I356">
        <v>0</v>
      </c>
      <c r="N356">
        <v>0</v>
      </c>
    </row>
    <row r="357" spans="1:14">
      <c r="A357" t="s">
        <v>153</v>
      </c>
      <c r="B357" t="s">
        <v>998</v>
      </c>
      <c r="C357" t="s">
        <v>553</v>
      </c>
      <c r="I357">
        <v>0</v>
      </c>
      <c r="N357">
        <v>0</v>
      </c>
    </row>
    <row r="358" spans="1:14">
      <c r="A358" t="s">
        <v>153</v>
      </c>
      <c r="B358" t="s">
        <v>999</v>
      </c>
      <c r="C358" t="s">
        <v>557</v>
      </c>
      <c r="I358">
        <v>0</v>
      </c>
      <c r="N358">
        <v>0</v>
      </c>
    </row>
    <row r="359" spans="1:14">
      <c r="A359" t="s">
        <v>153</v>
      </c>
      <c r="B359" t="s">
        <v>1000</v>
      </c>
      <c r="C359" t="s">
        <v>557</v>
      </c>
      <c r="I359">
        <v>0</v>
      </c>
      <c r="N359">
        <v>0</v>
      </c>
    </row>
    <row r="360" spans="1:14">
      <c r="A360" t="s">
        <v>153</v>
      </c>
      <c r="B360" t="s">
        <v>1001</v>
      </c>
      <c r="C360" t="s">
        <v>575</v>
      </c>
      <c r="I360">
        <v>0</v>
      </c>
      <c r="N360">
        <v>0</v>
      </c>
    </row>
    <row r="361" spans="1:14">
      <c r="A361" t="s">
        <v>153</v>
      </c>
      <c r="B361" t="s">
        <v>1002</v>
      </c>
      <c r="C361" t="s">
        <v>553</v>
      </c>
      <c r="I361">
        <v>0</v>
      </c>
      <c r="N361">
        <v>0</v>
      </c>
    </row>
    <row r="362" spans="1:14">
      <c r="A362" t="s">
        <v>153</v>
      </c>
      <c r="B362" t="s">
        <v>1003</v>
      </c>
      <c r="C362" t="s">
        <v>572</v>
      </c>
      <c r="I362">
        <v>0</v>
      </c>
      <c r="N362">
        <v>0</v>
      </c>
    </row>
    <row r="363" spans="1:14">
      <c r="A363" t="s">
        <v>153</v>
      </c>
      <c r="B363" t="s">
        <v>1004</v>
      </c>
      <c r="C363" t="s">
        <v>572</v>
      </c>
      <c r="I363">
        <v>0</v>
      </c>
      <c r="N363">
        <v>0</v>
      </c>
    </row>
    <row r="364" spans="1:14">
      <c r="A364" t="s">
        <v>153</v>
      </c>
      <c r="B364" t="s">
        <v>1005</v>
      </c>
      <c r="C364" t="s">
        <v>557</v>
      </c>
      <c r="I364">
        <v>0</v>
      </c>
      <c r="N364">
        <v>0</v>
      </c>
    </row>
    <row r="365" spans="1:14">
      <c r="A365" t="s">
        <v>153</v>
      </c>
      <c r="B365" t="s">
        <v>1006</v>
      </c>
      <c r="C365" t="s">
        <v>553</v>
      </c>
      <c r="I365">
        <v>0</v>
      </c>
      <c r="N365">
        <v>0</v>
      </c>
    </row>
    <row r="366" spans="1:14">
      <c r="A366" t="s">
        <v>139</v>
      </c>
      <c r="B366" t="s">
        <v>1007</v>
      </c>
      <c r="C366" t="s">
        <v>557</v>
      </c>
      <c r="D366" t="s">
        <v>695</v>
      </c>
      <c r="E366" t="s">
        <v>555</v>
      </c>
      <c r="F366">
        <v>3012</v>
      </c>
      <c r="G366">
        <v>1</v>
      </c>
      <c r="H366">
        <v>8</v>
      </c>
      <c r="I366">
        <v>0</v>
      </c>
      <c r="J366">
        <v>1</v>
      </c>
      <c r="K366">
        <v>9</v>
      </c>
      <c r="L366">
        <v>0</v>
      </c>
      <c r="M366">
        <v>0</v>
      </c>
      <c r="N366">
        <v>0</v>
      </c>
    </row>
    <row r="367" spans="1:14">
      <c r="A367" t="s">
        <v>139</v>
      </c>
      <c r="B367" t="s">
        <v>1008</v>
      </c>
      <c r="C367" t="s">
        <v>553</v>
      </c>
      <c r="D367" t="s">
        <v>695</v>
      </c>
      <c r="E367" t="s">
        <v>555</v>
      </c>
      <c r="F367">
        <v>2251</v>
      </c>
      <c r="G367">
        <v>1</v>
      </c>
      <c r="H367">
        <v>0</v>
      </c>
      <c r="I367">
        <v>0</v>
      </c>
      <c r="J367">
        <v>1</v>
      </c>
      <c r="K367">
        <v>1</v>
      </c>
      <c r="L367">
        <v>0</v>
      </c>
      <c r="M367">
        <v>0</v>
      </c>
      <c r="N367">
        <v>0</v>
      </c>
    </row>
    <row r="368" spans="1:14">
      <c r="A368" t="s">
        <v>139</v>
      </c>
      <c r="B368" t="s">
        <v>1009</v>
      </c>
      <c r="C368" t="s">
        <v>572</v>
      </c>
      <c r="I368">
        <v>720</v>
      </c>
      <c r="N368">
        <v>1</v>
      </c>
    </row>
    <row r="369" spans="1:14">
      <c r="A369" t="s">
        <v>139</v>
      </c>
      <c r="B369" t="s">
        <v>1010</v>
      </c>
      <c r="C369" t="s">
        <v>553</v>
      </c>
      <c r="D369" t="s">
        <v>1011</v>
      </c>
      <c r="E369" t="s">
        <v>1012</v>
      </c>
      <c r="F369">
        <v>2536</v>
      </c>
      <c r="G369">
        <v>2</v>
      </c>
      <c r="H369">
        <v>1</v>
      </c>
      <c r="I369">
        <v>0</v>
      </c>
      <c r="J369">
        <v>1</v>
      </c>
      <c r="K369">
        <v>3</v>
      </c>
      <c r="L369">
        <v>0</v>
      </c>
      <c r="M369">
        <v>0</v>
      </c>
      <c r="N369">
        <v>0</v>
      </c>
    </row>
    <row r="370" spans="1:14">
      <c r="A370" t="s">
        <v>139</v>
      </c>
      <c r="B370" t="s">
        <v>1013</v>
      </c>
      <c r="C370" t="s">
        <v>575</v>
      </c>
      <c r="D370" t="s">
        <v>613</v>
      </c>
      <c r="E370" t="s">
        <v>561</v>
      </c>
      <c r="F370">
        <v>1566</v>
      </c>
      <c r="G370">
        <v>11</v>
      </c>
      <c r="H370">
        <v>3</v>
      </c>
      <c r="I370">
        <v>0</v>
      </c>
      <c r="J370">
        <v>1</v>
      </c>
      <c r="K370">
        <v>14</v>
      </c>
      <c r="L370">
        <v>1</v>
      </c>
      <c r="M370">
        <v>0.80459999999999998</v>
      </c>
      <c r="N370">
        <v>0</v>
      </c>
    </row>
    <row r="371" spans="1:14">
      <c r="A371" t="s">
        <v>139</v>
      </c>
      <c r="B371" t="s">
        <v>1014</v>
      </c>
      <c r="C371" t="s">
        <v>557</v>
      </c>
      <c r="I371">
        <v>599</v>
      </c>
      <c r="N371">
        <v>0</v>
      </c>
    </row>
    <row r="372" spans="1:14">
      <c r="A372" t="s">
        <v>139</v>
      </c>
      <c r="B372" t="s">
        <v>1015</v>
      </c>
      <c r="C372" t="s">
        <v>575</v>
      </c>
      <c r="D372" t="s">
        <v>563</v>
      </c>
      <c r="E372" t="s">
        <v>555</v>
      </c>
      <c r="F372">
        <v>1988</v>
      </c>
      <c r="G372">
        <v>12</v>
      </c>
      <c r="H372">
        <v>3</v>
      </c>
      <c r="I372">
        <v>538</v>
      </c>
      <c r="J372">
        <v>1</v>
      </c>
      <c r="K372">
        <v>15</v>
      </c>
      <c r="L372">
        <v>1</v>
      </c>
      <c r="M372">
        <v>0.67910000000000004</v>
      </c>
      <c r="N372">
        <v>0</v>
      </c>
    </row>
    <row r="373" spans="1:14">
      <c r="A373" t="s">
        <v>139</v>
      </c>
      <c r="B373" t="s">
        <v>1016</v>
      </c>
      <c r="C373" t="s">
        <v>557</v>
      </c>
      <c r="I373">
        <v>0</v>
      </c>
      <c r="N373">
        <v>0</v>
      </c>
    </row>
    <row r="374" spans="1:14">
      <c r="A374" t="s">
        <v>139</v>
      </c>
      <c r="B374" t="s">
        <v>1017</v>
      </c>
      <c r="C374" t="s">
        <v>575</v>
      </c>
      <c r="D374" t="s">
        <v>695</v>
      </c>
      <c r="E374" t="s">
        <v>555</v>
      </c>
      <c r="F374">
        <v>41</v>
      </c>
      <c r="G374">
        <v>0</v>
      </c>
      <c r="H374">
        <v>0</v>
      </c>
      <c r="I374">
        <v>0</v>
      </c>
      <c r="J374">
        <v>1</v>
      </c>
      <c r="K374">
        <v>0</v>
      </c>
      <c r="L374">
        <v>0</v>
      </c>
      <c r="M374">
        <v>0</v>
      </c>
      <c r="N374">
        <v>0</v>
      </c>
    </row>
    <row r="375" spans="1:14">
      <c r="A375" t="s">
        <v>139</v>
      </c>
      <c r="B375" t="s">
        <v>1018</v>
      </c>
      <c r="C375" t="s">
        <v>553</v>
      </c>
      <c r="I375">
        <v>188</v>
      </c>
      <c r="N375">
        <v>1</v>
      </c>
    </row>
    <row r="376" spans="1:14">
      <c r="A376" t="s">
        <v>139</v>
      </c>
      <c r="B376" t="s">
        <v>1019</v>
      </c>
      <c r="C376" t="s">
        <v>557</v>
      </c>
      <c r="I376">
        <v>0</v>
      </c>
      <c r="N376">
        <v>0</v>
      </c>
    </row>
    <row r="377" spans="1:14">
      <c r="A377" t="s">
        <v>139</v>
      </c>
      <c r="B377" t="s">
        <v>1020</v>
      </c>
      <c r="C377" t="s">
        <v>557</v>
      </c>
      <c r="D377" t="s">
        <v>780</v>
      </c>
      <c r="E377" t="s">
        <v>570</v>
      </c>
      <c r="F377">
        <v>2200</v>
      </c>
      <c r="G377">
        <v>5</v>
      </c>
      <c r="H377">
        <v>0</v>
      </c>
      <c r="I377">
        <v>0</v>
      </c>
      <c r="J377">
        <v>1</v>
      </c>
      <c r="K377">
        <v>5</v>
      </c>
      <c r="L377">
        <v>0</v>
      </c>
      <c r="M377">
        <v>0</v>
      </c>
      <c r="N377">
        <v>0</v>
      </c>
    </row>
    <row r="378" spans="1:14">
      <c r="A378" t="s">
        <v>139</v>
      </c>
      <c r="B378" t="s">
        <v>1021</v>
      </c>
      <c r="C378" t="s">
        <v>557</v>
      </c>
      <c r="I378">
        <v>0</v>
      </c>
      <c r="N378">
        <v>0</v>
      </c>
    </row>
    <row r="379" spans="1:14">
      <c r="A379" t="s">
        <v>139</v>
      </c>
      <c r="B379" t="s">
        <v>1022</v>
      </c>
      <c r="C379" t="s">
        <v>575</v>
      </c>
      <c r="I379">
        <v>700</v>
      </c>
      <c r="N379">
        <v>0</v>
      </c>
    </row>
    <row r="380" spans="1:14">
      <c r="A380" t="s">
        <v>139</v>
      </c>
      <c r="B380" t="s">
        <v>1023</v>
      </c>
      <c r="C380" t="s">
        <v>553</v>
      </c>
      <c r="I380">
        <v>560</v>
      </c>
      <c r="N380">
        <v>1</v>
      </c>
    </row>
    <row r="381" spans="1:14">
      <c r="A381" t="s">
        <v>139</v>
      </c>
      <c r="B381" t="s">
        <v>1024</v>
      </c>
      <c r="C381" t="s">
        <v>557</v>
      </c>
      <c r="I381">
        <v>438</v>
      </c>
      <c r="N381">
        <v>0</v>
      </c>
    </row>
    <row r="382" spans="1:14">
      <c r="A382" t="s">
        <v>139</v>
      </c>
      <c r="B382" t="s">
        <v>1025</v>
      </c>
      <c r="C382" t="s">
        <v>575</v>
      </c>
      <c r="I382">
        <v>0</v>
      </c>
      <c r="N382">
        <v>0</v>
      </c>
    </row>
    <row r="383" spans="1:14">
      <c r="A383" t="s">
        <v>139</v>
      </c>
      <c r="B383" t="s">
        <v>1026</v>
      </c>
      <c r="C383" t="s">
        <v>557</v>
      </c>
      <c r="I383">
        <v>0</v>
      </c>
      <c r="N383">
        <v>0</v>
      </c>
    </row>
    <row r="384" spans="1:14">
      <c r="A384" t="s">
        <v>139</v>
      </c>
      <c r="B384" t="s">
        <v>1027</v>
      </c>
      <c r="C384" t="s">
        <v>575</v>
      </c>
      <c r="I384">
        <v>449</v>
      </c>
      <c r="N384">
        <v>0</v>
      </c>
    </row>
    <row r="385" spans="1:14">
      <c r="A385" t="s">
        <v>139</v>
      </c>
      <c r="B385" t="s">
        <v>1028</v>
      </c>
      <c r="C385" t="s">
        <v>553</v>
      </c>
      <c r="I385">
        <v>689</v>
      </c>
      <c r="N385">
        <v>1</v>
      </c>
    </row>
    <row r="386" spans="1:14">
      <c r="A386" t="s">
        <v>139</v>
      </c>
      <c r="B386" t="s">
        <v>1029</v>
      </c>
      <c r="C386" t="s">
        <v>575</v>
      </c>
      <c r="I386">
        <v>147</v>
      </c>
      <c r="N386">
        <v>0</v>
      </c>
    </row>
    <row r="387" spans="1:14">
      <c r="A387" t="s">
        <v>139</v>
      </c>
      <c r="B387" t="s">
        <v>1030</v>
      </c>
      <c r="C387" t="s">
        <v>572</v>
      </c>
      <c r="I387">
        <v>0</v>
      </c>
      <c r="N387">
        <v>0</v>
      </c>
    </row>
    <row r="388" spans="1:14">
      <c r="A388" t="s">
        <v>139</v>
      </c>
      <c r="B388" t="s">
        <v>1031</v>
      </c>
      <c r="C388" t="s">
        <v>553</v>
      </c>
      <c r="I388">
        <v>0</v>
      </c>
      <c r="N388">
        <v>0</v>
      </c>
    </row>
    <row r="389" spans="1:14">
      <c r="A389" t="s">
        <v>139</v>
      </c>
      <c r="B389" t="s">
        <v>1032</v>
      </c>
      <c r="C389" t="s">
        <v>575</v>
      </c>
      <c r="I389">
        <v>0</v>
      </c>
      <c r="N389">
        <v>0</v>
      </c>
    </row>
    <row r="390" spans="1:14">
      <c r="A390" t="s">
        <v>139</v>
      </c>
      <c r="B390" t="s">
        <v>1033</v>
      </c>
      <c r="C390" t="s">
        <v>557</v>
      </c>
      <c r="I390">
        <v>0</v>
      </c>
      <c r="N390">
        <v>0</v>
      </c>
    </row>
    <row r="391" spans="1:14">
      <c r="A391" t="s">
        <v>139</v>
      </c>
      <c r="B391" t="s">
        <v>1034</v>
      </c>
      <c r="C391" t="s">
        <v>572</v>
      </c>
      <c r="I391">
        <v>540</v>
      </c>
      <c r="N391">
        <v>1</v>
      </c>
    </row>
    <row r="392" spans="1:14">
      <c r="A392" t="s">
        <v>143</v>
      </c>
      <c r="B392" t="s">
        <v>1035</v>
      </c>
      <c r="C392" t="s">
        <v>557</v>
      </c>
      <c r="D392" t="s">
        <v>602</v>
      </c>
      <c r="E392" t="s">
        <v>570</v>
      </c>
      <c r="F392">
        <v>2795</v>
      </c>
      <c r="G392">
        <v>3</v>
      </c>
      <c r="H392">
        <v>1</v>
      </c>
      <c r="I392">
        <v>851</v>
      </c>
      <c r="J392">
        <v>1</v>
      </c>
      <c r="K392">
        <v>4</v>
      </c>
      <c r="L392">
        <v>0</v>
      </c>
      <c r="M392">
        <v>0</v>
      </c>
      <c r="N392">
        <v>0</v>
      </c>
    </row>
    <row r="393" spans="1:14">
      <c r="A393" t="s">
        <v>143</v>
      </c>
      <c r="B393" t="s">
        <v>1036</v>
      </c>
      <c r="C393" t="s">
        <v>572</v>
      </c>
      <c r="I393">
        <v>0</v>
      </c>
      <c r="N393">
        <v>0</v>
      </c>
    </row>
    <row r="394" spans="1:14">
      <c r="A394" t="s">
        <v>143</v>
      </c>
      <c r="B394" t="s">
        <v>1037</v>
      </c>
      <c r="C394" t="s">
        <v>553</v>
      </c>
      <c r="D394" t="s">
        <v>771</v>
      </c>
      <c r="E394" t="s">
        <v>561</v>
      </c>
      <c r="F394">
        <v>1914</v>
      </c>
      <c r="G394">
        <v>0</v>
      </c>
      <c r="H394">
        <v>0</v>
      </c>
      <c r="I394">
        <v>1560</v>
      </c>
      <c r="J394">
        <v>1</v>
      </c>
      <c r="K394">
        <v>0</v>
      </c>
      <c r="L394">
        <v>0</v>
      </c>
      <c r="M394">
        <v>0</v>
      </c>
      <c r="N394">
        <v>1</v>
      </c>
    </row>
    <row r="395" spans="1:14">
      <c r="A395" t="s">
        <v>143</v>
      </c>
      <c r="B395" t="s">
        <v>1038</v>
      </c>
      <c r="C395" t="s">
        <v>575</v>
      </c>
      <c r="I395">
        <v>0</v>
      </c>
      <c r="N395">
        <v>0</v>
      </c>
    </row>
    <row r="396" spans="1:14">
      <c r="A396" t="s">
        <v>143</v>
      </c>
      <c r="B396" t="s">
        <v>1039</v>
      </c>
      <c r="C396" t="s">
        <v>557</v>
      </c>
      <c r="I396">
        <v>0</v>
      </c>
      <c r="N396">
        <v>0</v>
      </c>
    </row>
    <row r="397" spans="1:14">
      <c r="A397" t="s">
        <v>143</v>
      </c>
      <c r="B397" t="s">
        <v>1040</v>
      </c>
      <c r="C397" t="s">
        <v>553</v>
      </c>
      <c r="D397" t="s">
        <v>1041</v>
      </c>
      <c r="E397" t="s">
        <v>1042</v>
      </c>
      <c r="F397">
        <v>1882</v>
      </c>
      <c r="G397">
        <v>1</v>
      </c>
      <c r="H397">
        <v>2</v>
      </c>
      <c r="I397">
        <v>693</v>
      </c>
      <c r="J397">
        <v>1</v>
      </c>
      <c r="K397">
        <v>3</v>
      </c>
      <c r="L397">
        <v>0</v>
      </c>
      <c r="M397">
        <v>0</v>
      </c>
      <c r="N397">
        <v>1</v>
      </c>
    </row>
    <row r="398" spans="1:14">
      <c r="A398" t="s">
        <v>143</v>
      </c>
      <c r="B398" t="s">
        <v>1043</v>
      </c>
      <c r="C398" t="s">
        <v>557</v>
      </c>
      <c r="I398">
        <v>0</v>
      </c>
      <c r="N398">
        <v>0</v>
      </c>
    </row>
    <row r="399" spans="1:14">
      <c r="A399" t="s">
        <v>143</v>
      </c>
      <c r="B399" t="s">
        <v>1044</v>
      </c>
      <c r="C399" t="s">
        <v>575</v>
      </c>
      <c r="I399">
        <v>0</v>
      </c>
      <c r="N399">
        <v>0</v>
      </c>
    </row>
    <row r="400" spans="1:14">
      <c r="A400" t="s">
        <v>143</v>
      </c>
      <c r="B400" t="s">
        <v>1045</v>
      </c>
      <c r="C400" t="s">
        <v>553</v>
      </c>
      <c r="I400">
        <v>0</v>
      </c>
      <c r="N400">
        <v>0</v>
      </c>
    </row>
    <row r="401" spans="1:14">
      <c r="A401" t="s">
        <v>143</v>
      </c>
      <c r="B401" t="s">
        <v>1046</v>
      </c>
      <c r="C401" t="s">
        <v>553</v>
      </c>
      <c r="I401">
        <v>868</v>
      </c>
      <c r="N401">
        <v>1</v>
      </c>
    </row>
    <row r="402" spans="1:14">
      <c r="A402" t="s">
        <v>143</v>
      </c>
      <c r="B402" t="s">
        <v>1047</v>
      </c>
      <c r="C402" t="s">
        <v>557</v>
      </c>
      <c r="D402" t="s">
        <v>900</v>
      </c>
      <c r="E402" t="s">
        <v>570</v>
      </c>
      <c r="F402">
        <v>404</v>
      </c>
      <c r="G402">
        <v>0</v>
      </c>
      <c r="H402">
        <v>0</v>
      </c>
      <c r="I402">
        <v>0</v>
      </c>
      <c r="J402">
        <v>1</v>
      </c>
      <c r="K402">
        <v>0</v>
      </c>
      <c r="L402">
        <v>0</v>
      </c>
      <c r="M402">
        <v>0</v>
      </c>
      <c r="N402">
        <v>0</v>
      </c>
    </row>
    <row r="403" spans="1:14">
      <c r="A403" t="s">
        <v>143</v>
      </c>
      <c r="B403" t="s">
        <v>1048</v>
      </c>
      <c r="C403" t="s">
        <v>557</v>
      </c>
      <c r="D403" t="s">
        <v>729</v>
      </c>
      <c r="E403" t="s">
        <v>566</v>
      </c>
      <c r="F403">
        <v>1034</v>
      </c>
      <c r="G403">
        <v>1</v>
      </c>
      <c r="H403">
        <v>1</v>
      </c>
      <c r="I403">
        <v>0</v>
      </c>
      <c r="J403">
        <v>1</v>
      </c>
      <c r="K403">
        <v>2</v>
      </c>
      <c r="L403">
        <v>0</v>
      </c>
      <c r="M403">
        <v>0</v>
      </c>
      <c r="N403">
        <v>0</v>
      </c>
    </row>
    <row r="404" spans="1:14">
      <c r="A404" t="s">
        <v>143</v>
      </c>
      <c r="B404" t="s">
        <v>1049</v>
      </c>
      <c r="C404" t="s">
        <v>557</v>
      </c>
      <c r="I404">
        <v>0</v>
      </c>
      <c r="N404">
        <v>0</v>
      </c>
    </row>
    <row r="405" spans="1:14">
      <c r="A405" t="s">
        <v>143</v>
      </c>
      <c r="B405" t="s">
        <v>1050</v>
      </c>
      <c r="C405" t="s">
        <v>557</v>
      </c>
      <c r="I405">
        <v>0</v>
      </c>
      <c r="N405">
        <v>0</v>
      </c>
    </row>
    <row r="406" spans="1:14">
      <c r="A406" t="s">
        <v>143</v>
      </c>
      <c r="B406" t="s">
        <v>1051</v>
      </c>
      <c r="C406" t="s">
        <v>575</v>
      </c>
      <c r="I406">
        <v>376</v>
      </c>
      <c r="N406">
        <v>0</v>
      </c>
    </row>
    <row r="407" spans="1:14">
      <c r="A407" t="s">
        <v>143</v>
      </c>
      <c r="B407" t="s">
        <v>1052</v>
      </c>
      <c r="C407" t="s">
        <v>553</v>
      </c>
      <c r="I407">
        <v>0</v>
      </c>
      <c r="N407">
        <v>0</v>
      </c>
    </row>
    <row r="408" spans="1:14">
      <c r="A408" t="s">
        <v>143</v>
      </c>
      <c r="B408" t="s">
        <v>1053</v>
      </c>
      <c r="C408" t="s">
        <v>553</v>
      </c>
      <c r="I408">
        <v>0</v>
      </c>
      <c r="N408">
        <v>0</v>
      </c>
    </row>
    <row r="409" spans="1:14">
      <c r="A409" t="s">
        <v>143</v>
      </c>
      <c r="B409" t="s">
        <v>1054</v>
      </c>
      <c r="C409" t="s">
        <v>553</v>
      </c>
      <c r="I409">
        <v>0</v>
      </c>
      <c r="N409">
        <v>0</v>
      </c>
    </row>
    <row r="410" spans="1:14">
      <c r="A410" t="s">
        <v>143</v>
      </c>
      <c r="B410" t="s">
        <v>1055</v>
      </c>
      <c r="C410" t="s">
        <v>575</v>
      </c>
      <c r="I410">
        <v>0</v>
      </c>
      <c r="N410">
        <v>0</v>
      </c>
    </row>
    <row r="411" spans="1:14">
      <c r="A411" t="s">
        <v>143</v>
      </c>
      <c r="B411" t="s">
        <v>1056</v>
      </c>
      <c r="C411" t="s">
        <v>557</v>
      </c>
      <c r="D411" t="s">
        <v>633</v>
      </c>
      <c r="E411" t="s">
        <v>561</v>
      </c>
      <c r="F411">
        <v>424</v>
      </c>
      <c r="G411">
        <v>1</v>
      </c>
      <c r="H411">
        <v>0</v>
      </c>
      <c r="I411">
        <v>0</v>
      </c>
      <c r="J411">
        <v>1</v>
      </c>
      <c r="K411">
        <v>1</v>
      </c>
      <c r="L411">
        <v>0</v>
      </c>
      <c r="M411">
        <v>0</v>
      </c>
      <c r="N411">
        <v>0</v>
      </c>
    </row>
    <row r="412" spans="1:14">
      <c r="A412" t="s">
        <v>143</v>
      </c>
      <c r="B412" t="s">
        <v>1057</v>
      </c>
      <c r="C412" t="s">
        <v>553</v>
      </c>
      <c r="I412">
        <v>0</v>
      </c>
      <c r="N412">
        <v>0</v>
      </c>
    </row>
    <row r="413" spans="1:14">
      <c r="A413" t="s">
        <v>143</v>
      </c>
      <c r="B413" t="s">
        <v>1058</v>
      </c>
      <c r="C413" t="s">
        <v>575</v>
      </c>
      <c r="D413" t="s">
        <v>741</v>
      </c>
      <c r="E413" t="s">
        <v>555</v>
      </c>
      <c r="F413">
        <v>38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0</v>
      </c>
    </row>
    <row r="414" spans="1:14">
      <c r="A414" t="s">
        <v>143</v>
      </c>
      <c r="B414" t="s">
        <v>1059</v>
      </c>
      <c r="C414" t="s">
        <v>557</v>
      </c>
      <c r="I414">
        <v>0</v>
      </c>
      <c r="N414">
        <v>0</v>
      </c>
    </row>
    <row r="415" spans="1:14">
      <c r="A415" t="s">
        <v>143</v>
      </c>
      <c r="B415" t="s">
        <v>1060</v>
      </c>
      <c r="C415" t="s">
        <v>572</v>
      </c>
      <c r="I415">
        <v>0</v>
      </c>
      <c r="N415">
        <v>0</v>
      </c>
    </row>
    <row r="416" spans="1:14">
      <c r="A416" t="s">
        <v>143</v>
      </c>
      <c r="B416" t="s">
        <v>1061</v>
      </c>
      <c r="C416" t="s">
        <v>557</v>
      </c>
      <c r="I416">
        <v>0</v>
      </c>
      <c r="N416">
        <v>0</v>
      </c>
    </row>
    <row r="417" spans="1:14">
      <c r="A417" t="s">
        <v>143</v>
      </c>
      <c r="B417" t="s">
        <v>1062</v>
      </c>
      <c r="C417" t="s">
        <v>572</v>
      </c>
      <c r="I417">
        <v>0</v>
      </c>
      <c r="N417">
        <v>0</v>
      </c>
    </row>
    <row r="418" spans="1:14">
      <c r="A418" t="s">
        <v>158</v>
      </c>
      <c r="B418" t="s">
        <v>1063</v>
      </c>
      <c r="C418" t="s">
        <v>553</v>
      </c>
      <c r="I418">
        <v>0</v>
      </c>
      <c r="N418">
        <v>0</v>
      </c>
    </row>
    <row r="419" spans="1:14">
      <c r="A419" t="s">
        <v>158</v>
      </c>
      <c r="B419" t="s">
        <v>1064</v>
      </c>
      <c r="C419" t="s">
        <v>572</v>
      </c>
      <c r="I419">
        <v>0</v>
      </c>
      <c r="N419">
        <v>0</v>
      </c>
    </row>
    <row r="420" spans="1:14">
      <c r="A420" t="s">
        <v>158</v>
      </c>
      <c r="B420" t="s">
        <v>1065</v>
      </c>
      <c r="C420" t="s">
        <v>575</v>
      </c>
      <c r="D420" t="s">
        <v>599</v>
      </c>
      <c r="E420" t="s">
        <v>570</v>
      </c>
      <c r="F420">
        <v>2146</v>
      </c>
      <c r="G420">
        <v>6</v>
      </c>
      <c r="H420">
        <v>7</v>
      </c>
      <c r="I420">
        <v>688</v>
      </c>
      <c r="J420">
        <v>1</v>
      </c>
      <c r="K420">
        <v>13</v>
      </c>
      <c r="L420">
        <v>1</v>
      </c>
      <c r="M420">
        <v>0.54520000000000002</v>
      </c>
      <c r="N420">
        <v>0</v>
      </c>
    </row>
    <row r="421" spans="1:14">
      <c r="A421" t="s">
        <v>158</v>
      </c>
      <c r="B421" t="s">
        <v>1066</v>
      </c>
      <c r="C421" t="s">
        <v>575</v>
      </c>
      <c r="I421">
        <v>0</v>
      </c>
      <c r="N421">
        <v>0</v>
      </c>
    </row>
    <row r="422" spans="1:14">
      <c r="A422" t="s">
        <v>158</v>
      </c>
      <c r="B422" t="s">
        <v>1067</v>
      </c>
      <c r="C422" t="s">
        <v>557</v>
      </c>
      <c r="I422">
        <v>0</v>
      </c>
      <c r="N422">
        <v>0</v>
      </c>
    </row>
    <row r="423" spans="1:14">
      <c r="A423" t="s">
        <v>158</v>
      </c>
      <c r="B423" t="s">
        <v>1068</v>
      </c>
      <c r="C423" t="s">
        <v>553</v>
      </c>
      <c r="I423">
        <v>0</v>
      </c>
      <c r="N423">
        <v>0</v>
      </c>
    </row>
    <row r="424" spans="1:14">
      <c r="A424" t="s">
        <v>158</v>
      </c>
      <c r="B424" t="s">
        <v>1069</v>
      </c>
      <c r="C424" t="s">
        <v>557</v>
      </c>
      <c r="I424">
        <v>0</v>
      </c>
      <c r="N424">
        <v>0</v>
      </c>
    </row>
    <row r="425" spans="1:14">
      <c r="A425" t="s">
        <v>158</v>
      </c>
      <c r="B425" t="s">
        <v>1070</v>
      </c>
      <c r="C425" t="s">
        <v>557</v>
      </c>
      <c r="I425">
        <v>0</v>
      </c>
      <c r="N425">
        <v>0</v>
      </c>
    </row>
    <row r="426" spans="1:14">
      <c r="A426" t="s">
        <v>158</v>
      </c>
      <c r="B426" t="s">
        <v>1071</v>
      </c>
      <c r="C426" t="s">
        <v>553</v>
      </c>
      <c r="I426">
        <v>0</v>
      </c>
      <c r="N426">
        <v>0</v>
      </c>
    </row>
    <row r="427" spans="1:14">
      <c r="A427" t="s">
        <v>158</v>
      </c>
      <c r="B427" t="s">
        <v>1072</v>
      </c>
      <c r="C427" t="s">
        <v>575</v>
      </c>
      <c r="D427" t="s">
        <v>569</v>
      </c>
      <c r="E427" t="s">
        <v>570</v>
      </c>
      <c r="F427">
        <v>700</v>
      </c>
      <c r="G427">
        <v>3</v>
      </c>
      <c r="H427">
        <v>3</v>
      </c>
      <c r="I427">
        <v>225</v>
      </c>
      <c r="J427">
        <v>1</v>
      </c>
      <c r="K427">
        <v>6</v>
      </c>
      <c r="L427">
        <v>0</v>
      </c>
      <c r="M427">
        <v>0</v>
      </c>
      <c r="N427">
        <v>0</v>
      </c>
    </row>
    <row r="428" spans="1:14">
      <c r="A428" t="s">
        <v>158</v>
      </c>
      <c r="B428" t="s">
        <v>1073</v>
      </c>
      <c r="C428" t="s">
        <v>553</v>
      </c>
      <c r="I428">
        <v>0</v>
      </c>
      <c r="N428">
        <v>0</v>
      </c>
    </row>
    <row r="429" spans="1:14">
      <c r="A429" t="s">
        <v>158</v>
      </c>
      <c r="B429" t="s">
        <v>1074</v>
      </c>
      <c r="C429" t="s">
        <v>553</v>
      </c>
      <c r="I429">
        <v>0</v>
      </c>
      <c r="N429">
        <v>0</v>
      </c>
    </row>
    <row r="430" spans="1:14">
      <c r="A430" t="s">
        <v>158</v>
      </c>
      <c r="B430" t="s">
        <v>1075</v>
      </c>
      <c r="C430" t="s">
        <v>553</v>
      </c>
      <c r="I430">
        <v>0</v>
      </c>
      <c r="N430">
        <v>0</v>
      </c>
    </row>
    <row r="431" spans="1:14">
      <c r="A431" t="s">
        <v>158</v>
      </c>
      <c r="B431" t="s">
        <v>1076</v>
      </c>
      <c r="C431" t="s">
        <v>557</v>
      </c>
      <c r="I431">
        <v>0</v>
      </c>
      <c r="N431">
        <v>0</v>
      </c>
    </row>
    <row r="432" spans="1:14">
      <c r="A432" t="s">
        <v>158</v>
      </c>
      <c r="B432" t="s">
        <v>1077</v>
      </c>
      <c r="C432" t="s">
        <v>557</v>
      </c>
      <c r="D432" t="s">
        <v>1078</v>
      </c>
      <c r="E432" t="s">
        <v>610</v>
      </c>
      <c r="F432">
        <v>1942</v>
      </c>
      <c r="G432">
        <v>0</v>
      </c>
      <c r="H432">
        <v>3</v>
      </c>
      <c r="I432">
        <v>0</v>
      </c>
      <c r="J432">
        <v>1</v>
      </c>
      <c r="K432">
        <v>3</v>
      </c>
      <c r="L432">
        <v>0</v>
      </c>
      <c r="M432">
        <v>0</v>
      </c>
      <c r="N432">
        <v>0</v>
      </c>
    </row>
    <row r="433" spans="1:14">
      <c r="A433" t="s">
        <v>158</v>
      </c>
      <c r="B433" t="s">
        <v>1079</v>
      </c>
      <c r="C433" t="s">
        <v>557</v>
      </c>
      <c r="I433">
        <v>0</v>
      </c>
      <c r="N433">
        <v>0</v>
      </c>
    </row>
    <row r="434" spans="1:14">
      <c r="A434" t="s">
        <v>158</v>
      </c>
      <c r="B434" t="s">
        <v>1080</v>
      </c>
      <c r="C434" t="s">
        <v>553</v>
      </c>
      <c r="I434">
        <v>0</v>
      </c>
      <c r="N434">
        <v>0</v>
      </c>
    </row>
    <row r="435" spans="1:14">
      <c r="A435" t="s">
        <v>158</v>
      </c>
      <c r="B435" t="s">
        <v>1081</v>
      </c>
      <c r="C435" t="s">
        <v>575</v>
      </c>
      <c r="I435">
        <v>0</v>
      </c>
      <c r="N435">
        <v>0</v>
      </c>
    </row>
    <row r="436" spans="1:14">
      <c r="A436" t="s">
        <v>158</v>
      </c>
      <c r="B436" t="s">
        <v>1082</v>
      </c>
      <c r="C436" t="s">
        <v>553</v>
      </c>
      <c r="I436">
        <v>0</v>
      </c>
      <c r="N436">
        <v>0</v>
      </c>
    </row>
    <row r="437" spans="1:14">
      <c r="A437" t="s">
        <v>158</v>
      </c>
      <c r="B437" t="s">
        <v>1083</v>
      </c>
      <c r="C437" t="s">
        <v>557</v>
      </c>
      <c r="I437">
        <v>0</v>
      </c>
      <c r="N437">
        <v>0</v>
      </c>
    </row>
    <row r="438" spans="1:14">
      <c r="A438" t="s">
        <v>158</v>
      </c>
      <c r="B438" t="s">
        <v>1084</v>
      </c>
      <c r="C438" t="s">
        <v>557</v>
      </c>
      <c r="I438">
        <v>0</v>
      </c>
      <c r="N438">
        <v>0</v>
      </c>
    </row>
    <row r="439" spans="1:14">
      <c r="A439" t="s">
        <v>158</v>
      </c>
      <c r="B439" t="s">
        <v>1085</v>
      </c>
      <c r="C439" t="s">
        <v>572</v>
      </c>
      <c r="I439">
        <v>0</v>
      </c>
      <c r="N439">
        <v>0</v>
      </c>
    </row>
    <row r="440" spans="1:14">
      <c r="A440" t="s">
        <v>158</v>
      </c>
      <c r="B440" t="s">
        <v>1086</v>
      </c>
      <c r="C440" t="s">
        <v>553</v>
      </c>
      <c r="I440">
        <v>0</v>
      </c>
      <c r="N440">
        <v>0</v>
      </c>
    </row>
    <row r="441" spans="1:14">
      <c r="A441" t="s">
        <v>158</v>
      </c>
      <c r="B441" t="s">
        <v>1087</v>
      </c>
      <c r="C441" t="s">
        <v>557</v>
      </c>
      <c r="I441">
        <v>0</v>
      </c>
      <c r="N441">
        <v>0</v>
      </c>
    </row>
    <row r="442" spans="1:14">
      <c r="A442" t="s">
        <v>158</v>
      </c>
      <c r="B442" t="s">
        <v>1088</v>
      </c>
      <c r="C442" t="s">
        <v>572</v>
      </c>
      <c r="I442">
        <v>0</v>
      </c>
      <c r="N442">
        <v>0</v>
      </c>
    </row>
    <row r="443" spans="1:14">
      <c r="A443" t="s">
        <v>158</v>
      </c>
      <c r="B443" t="s">
        <v>1089</v>
      </c>
      <c r="C443" t="s">
        <v>572</v>
      </c>
      <c r="I443">
        <v>0</v>
      </c>
      <c r="N443">
        <v>0</v>
      </c>
    </row>
    <row r="444" spans="1:14">
      <c r="A444" t="s">
        <v>136</v>
      </c>
      <c r="B444" t="s">
        <v>1090</v>
      </c>
      <c r="C444" t="s">
        <v>553</v>
      </c>
      <c r="D444" t="s">
        <v>1091</v>
      </c>
      <c r="E444" t="s">
        <v>570</v>
      </c>
      <c r="F444">
        <v>3150</v>
      </c>
      <c r="G444">
        <v>3</v>
      </c>
      <c r="H444">
        <v>3</v>
      </c>
      <c r="I444">
        <v>135</v>
      </c>
      <c r="J444">
        <v>1</v>
      </c>
      <c r="K444">
        <v>6</v>
      </c>
      <c r="L444">
        <v>0</v>
      </c>
      <c r="M444">
        <v>0</v>
      </c>
      <c r="N444">
        <v>1</v>
      </c>
    </row>
    <row r="445" spans="1:14">
      <c r="A445" t="s">
        <v>136</v>
      </c>
      <c r="B445" t="s">
        <v>1092</v>
      </c>
      <c r="C445" t="s">
        <v>572</v>
      </c>
      <c r="D445" t="s">
        <v>1093</v>
      </c>
      <c r="E445" t="s">
        <v>570</v>
      </c>
      <c r="F445">
        <v>3420</v>
      </c>
      <c r="G445">
        <v>0</v>
      </c>
      <c r="H445">
        <v>0</v>
      </c>
      <c r="I445">
        <v>0</v>
      </c>
      <c r="J445">
        <v>1</v>
      </c>
      <c r="K445">
        <v>0</v>
      </c>
      <c r="L445">
        <v>0</v>
      </c>
      <c r="M445">
        <v>0</v>
      </c>
      <c r="N445">
        <v>0</v>
      </c>
    </row>
    <row r="446" spans="1:14">
      <c r="A446" t="s">
        <v>136</v>
      </c>
      <c r="B446" t="s">
        <v>1094</v>
      </c>
      <c r="C446" t="s">
        <v>575</v>
      </c>
      <c r="D446" t="s">
        <v>668</v>
      </c>
      <c r="E446" t="s">
        <v>555</v>
      </c>
      <c r="F446">
        <v>2377</v>
      </c>
      <c r="G446">
        <v>26</v>
      </c>
      <c r="H446">
        <v>5</v>
      </c>
      <c r="I446">
        <v>1036</v>
      </c>
      <c r="J446">
        <v>1</v>
      </c>
      <c r="K446">
        <v>31</v>
      </c>
      <c r="L446">
        <v>1</v>
      </c>
      <c r="M446">
        <v>1.1737</v>
      </c>
      <c r="N446">
        <v>0</v>
      </c>
    </row>
    <row r="447" spans="1:14">
      <c r="A447" t="s">
        <v>136</v>
      </c>
      <c r="B447" t="s">
        <v>1095</v>
      </c>
      <c r="C447" t="s">
        <v>553</v>
      </c>
      <c r="D447" t="s">
        <v>597</v>
      </c>
      <c r="E447" t="s">
        <v>570</v>
      </c>
      <c r="F447">
        <v>3035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</row>
    <row r="448" spans="1:14">
      <c r="A448" t="s">
        <v>136</v>
      </c>
      <c r="B448" t="s">
        <v>1096</v>
      </c>
      <c r="C448" t="s">
        <v>557</v>
      </c>
      <c r="D448" t="s">
        <v>926</v>
      </c>
      <c r="E448" t="s">
        <v>570</v>
      </c>
      <c r="F448">
        <v>3331</v>
      </c>
      <c r="G448">
        <v>3</v>
      </c>
      <c r="H448">
        <v>4</v>
      </c>
      <c r="I448">
        <v>0</v>
      </c>
      <c r="J448">
        <v>1</v>
      </c>
      <c r="K448">
        <v>7</v>
      </c>
      <c r="L448">
        <v>0</v>
      </c>
      <c r="M448">
        <v>0</v>
      </c>
      <c r="N448">
        <v>0</v>
      </c>
    </row>
    <row r="449" spans="1:14">
      <c r="A449" t="s">
        <v>136</v>
      </c>
      <c r="B449" t="s">
        <v>1097</v>
      </c>
      <c r="C449" t="s">
        <v>557</v>
      </c>
      <c r="D449" t="s">
        <v>677</v>
      </c>
      <c r="E449" t="s">
        <v>610</v>
      </c>
      <c r="F449">
        <v>1916</v>
      </c>
      <c r="G449">
        <v>6</v>
      </c>
      <c r="H449">
        <v>4</v>
      </c>
      <c r="I449">
        <v>610</v>
      </c>
      <c r="J449">
        <v>1</v>
      </c>
      <c r="K449">
        <v>10</v>
      </c>
      <c r="L449">
        <v>0</v>
      </c>
      <c r="M449">
        <v>0</v>
      </c>
      <c r="N449">
        <v>0</v>
      </c>
    </row>
    <row r="450" spans="1:14">
      <c r="A450" t="s">
        <v>136</v>
      </c>
      <c r="B450" t="s">
        <v>1098</v>
      </c>
      <c r="C450" t="s">
        <v>557</v>
      </c>
      <c r="D450" t="s">
        <v>708</v>
      </c>
      <c r="E450" t="s">
        <v>570</v>
      </c>
      <c r="F450">
        <v>3094</v>
      </c>
      <c r="G450">
        <v>4</v>
      </c>
      <c r="H450">
        <v>5</v>
      </c>
      <c r="I450">
        <v>1070</v>
      </c>
      <c r="J450">
        <v>1</v>
      </c>
      <c r="K450">
        <v>9</v>
      </c>
      <c r="L450">
        <v>0</v>
      </c>
      <c r="M450">
        <v>0</v>
      </c>
      <c r="N450">
        <v>0</v>
      </c>
    </row>
    <row r="451" spans="1:14">
      <c r="A451" t="s">
        <v>136</v>
      </c>
      <c r="B451" t="s">
        <v>1099</v>
      </c>
      <c r="C451" t="s">
        <v>553</v>
      </c>
      <c r="D451" t="s">
        <v>569</v>
      </c>
      <c r="E451" t="s">
        <v>570</v>
      </c>
      <c r="F451">
        <v>2646</v>
      </c>
      <c r="G451">
        <v>5</v>
      </c>
      <c r="H451">
        <v>3</v>
      </c>
      <c r="I451">
        <v>670</v>
      </c>
      <c r="J451">
        <v>1</v>
      </c>
      <c r="K451">
        <v>8</v>
      </c>
      <c r="L451">
        <v>0</v>
      </c>
      <c r="M451">
        <v>0</v>
      </c>
      <c r="N451">
        <v>1</v>
      </c>
    </row>
    <row r="452" spans="1:14">
      <c r="A452" t="s">
        <v>136</v>
      </c>
      <c r="B452" t="s">
        <v>1100</v>
      </c>
      <c r="C452" t="s">
        <v>557</v>
      </c>
      <c r="D452" t="s">
        <v>775</v>
      </c>
      <c r="E452" t="s">
        <v>570</v>
      </c>
      <c r="F452">
        <v>1795</v>
      </c>
      <c r="G452">
        <v>3</v>
      </c>
      <c r="H452">
        <v>2</v>
      </c>
      <c r="I452">
        <v>767</v>
      </c>
      <c r="J452">
        <v>1</v>
      </c>
      <c r="K452">
        <v>5</v>
      </c>
      <c r="L452">
        <v>0</v>
      </c>
      <c r="M452">
        <v>0</v>
      </c>
      <c r="N452">
        <v>0</v>
      </c>
    </row>
    <row r="453" spans="1:14">
      <c r="A453" t="s">
        <v>136</v>
      </c>
      <c r="B453" t="s">
        <v>1101</v>
      </c>
      <c r="C453" t="s">
        <v>553</v>
      </c>
      <c r="D453" t="s">
        <v>606</v>
      </c>
      <c r="E453" t="s">
        <v>570</v>
      </c>
      <c r="F453">
        <v>2056</v>
      </c>
      <c r="G453">
        <v>0</v>
      </c>
      <c r="H453">
        <v>0</v>
      </c>
      <c r="I453">
        <v>704</v>
      </c>
      <c r="J453">
        <v>1</v>
      </c>
      <c r="K453">
        <v>0</v>
      </c>
      <c r="L453">
        <v>0</v>
      </c>
      <c r="M453">
        <v>0</v>
      </c>
      <c r="N453">
        <v>1</v>
      </c>
    </row>
    <row r="454" spans="1:14">
      <c r="A454" t="s">
        <v>136</v>
      </c>
      <c r="B454" t="s">
        <v>1102</v>
      </c>
      <c r="C454" t="s">
        <v>557</v>
      </c>
      <c r="D454" t="s">
        <v>708</v>
      </c>
      <c r="E454" t="s">
        <v>570</v>
      </c>
      <c r="F454">
        <v>1211</v>
      </c>
      <c r="G454">
        <v>3</v>
      </c>
      <c r="H454">
        <v>1</v>
      </c>
      <c r="I454">
        <v>608</v>
      </c>
      <c r="J454">
        <v>1</v>
      </c>
      <c r="K454">
        <v>4</v>
      </c>
      <c r="L454">
        <v>0</v>
      </c>
      <c r="M454">
        <v>0</v>
      </c>
      <c r="N454">
        <v>0</v>
      </c>
    </row>
    <row r="455" spans="1:14">
      <c r="A455" t="s">
        <v>136</v>
      </c>
      <c r="B455" t="s">
        <v>1103</v>
      </c>
      <c r="C455" t="s">
        <v>557</v>
      </c>
      <c r="D455" t="s">
        <v>708</v>
      </c>
      <c r="E455" t="s">
        <v>570</v>
      </c>
      <c r="F455">
        <v>2222</v>
      </c>
      <c r="G455">
        <v>6</v>
      </c>
      <c r="H455">
        <v>5</v>
      </c>
      <c r="I455">
        <v>686</v>
      </c>
      <c r="J455">
        <v>1</v>
      </c>
      <c r="K455">
        <v>11</v>
      </c>
      <c r="L455">
        <v>0</v>
      </c>
      <c r="M455">
        <v>0</v>
      </c>
      <c r="N455">
        <v>0</v>
      </c>
    </row>
    <row r="456" spans="1:14">
      <c r="A456" t="s">
        <v>136</v>
      </c>
      <c r="B456" t="s">
        <v>1104</v>
      </c>
      <c r="C456" t="s">
        <v>557</v>
      </c>
      <c r="D456" t="s">
        <v>597</v>
      </c>
      <c r="E456" t="s">
        <v>570</v>
      </c>
      <c r="F456">
        <v>3280</v>
      </c>
      <c r="G456">
        <v>10</v>
      </c>
      <c r="H456">
        <v>6</v>
      </c>
      <c r="I456">
        <v>0</v>
      </c>
      <c r="J456">
        <v>1</v>
      </c>
      <c r="K456">
        <v>16</v>
      </c>
      <c r="L456">
        <v>0</v>
      </c>
      <c r="M456">
        <v>0</v>
      </c>
      <c r="N456">
        <v>0</v>
      </c>
    </row>
    <row r="457" spans="1:14">
      <c r="A457" t="s">
        <v>136</v>
      </c>
      <c r="B457" t="s">
        <v>1105</v>
      </c>
      <c r="C457" t="s">
        <v>553</v>
      </c>
      <c r="D457" t="s">
        <v>569</v>
      </c>
      <c r="E457" t="s">
        <v>570</v>
      </c>
      <c r="F457">
        <v>439</v>
      </c>
      <c r="G457">
        <v>0</v>
      </c>
      <c r="H457">
        <v>0</v>
      </c>
      <c r="I457">
        <v>342</v>
      </c>
      <c r="J457">
        <v>1</v>
      </c>
      <c r="K457">
        <v>0</v>
      </c>
      <c r="L457">
        <v>0</v>
      </c>
      <c r="M457">
        <v>0</v>
      </c>
      <c r="N457">
        <v>1</v>
      </c>
    </row>
    <row r="458" spans="1:14">
      <c r="A458" t="s">
        <v>136</v>
      </c>
      <c r="B458" t="s">
        <v>1106</v>
      </c>
      <c r="C458" t="s">
        <v>553</v>
      </c>
      <c r="D458" t="s">
        <v>602</v>
      </c>
      <c r="E458" t="s">
        <v>570</v>
      </c>
      <c r="F458">
        <v>1963</v>
      </c>
      <c r="G458">
        <v>2</v>
      </c>
      <c r="H458">
        <v>4</v>
      </c>
      <c r="I458">
        <v>563</v>
      </c>
      <c r="J458">
        <v>1</v>
      </c>
      <c r="K458">
        <v>6</v>
      </c>
      <c r="L458">
        <v>0</v>
      </c>
      <c r="M458">
        <v>0</v>
      </c>
      <c r="N458">
        <v>1</v>
      </c>
    </row>
    <row r="459" spans="1:14">
      <c r="A459" t="s">
        <v>136</v>
      </c>
      <c r="B459" t="s">
        <v>1107</v>
      </c>
      <c r="C459" t="s">
        <v>557</v>
      </c>
      <c r="D459" t="s">
        <v>783</v>
      </c>
      <c r="E459" t="s">
        <v>610</v>
      </c>
      <c r="F459">
        <v>1763</v>
      </c>
      <c r="G459">
        <v>8</v>
      </c>
      <c r="H459">
        <v>7</v>
      </c>
      <c r="I459">
        <v>579</v>
      </c>
      <c r="J459">
        <v>1</v>
      </c>
      <c r="K459">
        <v>15</v>
      </c>
      <c r="L459">
        <v>0</v>
      </c>
      <c r="M459">
        <v>0</v>
      </c>
      <c r="N459">
        <v>0</v>
      </c>
    </row>
    <row r="460" spans="1:14">
      <c r="A460" t="s">
        <v>136</v>
      </c>
      <c r="B460" t="s">
        <v>1108</v>
      </c>
      <c r="C460" t="s">
        <v>553</v>
      </c>
      <c r="D460" t="s">
        <v>563</v>
      </c>
      <c r="E460" t="s">
        <v>555</v>
      </c>
      <c r="F460">
        <v>2299</v>
      </c>
      <c r="G460">
        <v>4</v>
      </c>
      <c r="H460">
        <v>0</v>
      </c>
      <c r="I460">
        <v>990</v>
      </c>
      <c r="J460">
        <v>1</v>
      </c>
      <c r="K460">
        <v>4</v>
      </c>
      <c r="L460">
        <v>0</v>
      </c>
      <c r="M460">
        <v>0</v>
      </c>
      <c r="N460">
        <v>1</v>
      </c>
    </row>
    <row r="461" spans="1:14">
      <c r="A461" t="s">
        <v>136</v>
      </c>
      <c r="B461" t="s">
        <v>1109</v>
      </c>
      <c r="C461" t="s">
        <v>557</v>
      </c>
      <c r="D461" t="s">
        <v>1110</v>
      </c>
      <c r="E461" t="s">
        <v>570</v>
      </c>
      <c r="F461">
        <v>1895</v>
      </c>
      <c r="G461">
        <v>7</v>
      </c>
      <c r="H461">
        <v>2</v>
      </c>
      <c r="I461">
        <v>767</v>
      </c>
      <c r="J461">
        <v>1</v>
      </c>
      <c r="K461">
        <v>9</v>
      </c>
      <c r="L461">
        <v>0</v>
      </c>
      <c r="M461">
        <v>0</v>
      </c>
      <c r="N461">
        <v>0</v>
      </c>
    </row>
    <row r="462" spans="1:14">
      <c r="A462" t="s">
        <v>136</v>
      </c>
      <c r="B462" t="s">
        <v>1111</v>
      </c>
      <c r="C462" t="s">
        <v>572</v>
      </c>
      <c r="D462" t="s">
        <v>862</v>
      </c>
      <c r="E462" t="s">
        <v>570</v>
      </c>
      <c r="F462">
        <v>3330</v>
      </c>
      <c r="G462">
        <v>0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0</v>
      </c>
    </row>
    <row r="463" spans="1:14">
      <c r="A463" t="s">
        <v>136</v>
      </c>
      <c r="B463" t="s">
        <v>1112</v>
      </c>
      <c r="C463" t="s">
        <v>575</v>
      </c>
      <c r="I463">
        <v>0</v>
      </c>
      <c r="N463">
        <v>0</v>
      </c>
    </row>
    <row r="464" spans="1:14">
      <c r="A464" t="s">
        <v>136</v>
      </c>
      <c r="B464" t="s">
        <v>1113</v>
      </c>
      <c r="C464" t="s">
        <v>575</v>
      </c>
      <c r="D464" t="s">
        <v>597</v>
      </c>
      <c r="E464" t="s">
        <v>570</v>
      </c>
      <c r="F464">
        <v>2839</v>
      </c>
      <c r="G464">
        <v>16</v>
      </c>
      <c r="H464">
        <v>3</v>
      </c>
      <c r="I464">
        <v>0</v>
      </c>
      <c r="J464">
        <v>1</v>
      </c>
      <c r="K464">
        <v>19</v>
      </c>
      <c r="L464">
        <v>1</v>
      </c>
      <c r="M464">
        <v>0.60229999999999995</v>
      </c>
      <c r="N464">
        <v>0</v>
      </c>
    </row>
    <row r="465" spans="1:14">
      <c r="A465" t="s">
        <v>136</v>
      </c>
      <c r="B465" t="s">
        <v>1114</v>
      </c>
      <c r="C465" t="s">
        <v>553</v>
      </c>
      <c r="D465" t="s">
        <v>775</v>
      </c>
      <c r="E465" t="s">
        <v>570</v>
      </c>
      <c r="F465">
        <v>2199</v>
      </c>
      <c r="G465">
        <v>1</v>
      </c>
      <c r="H465">
        <v>2</v>
      </c>
      <c r="I465">
        <v>964</v>
      </c>
      <c r="J465">
        <v>1</v>
      </c>
      <c r="K465">
        <v>3</v>
      </c>
      <c r="L465">
        <v>0</v>
      </c>
      <c r="M465">
        <v>0</v>
      </c>
      <c r="N465">
        <v>1</v>
      </c>
    </row>
    <row r="466" spans="1:14">
      <c r="A466" t="s">
        <v>136</v>
      </c>
      <c r="B466" t="s">
        <v>1115</v>
      </c>
      <c r="C466" t="s">
        <v>557</v>
      </c>
      <c r="D466" t="s">
        <v>786</v>
      </c>
      <c r="E466" t="s">
        <v>570</v>
      </c>
      <c r="F466">
        <v>1919</v>
      </c>
      <c r="G466">
        <v>1</v>
      </c>
      <c r="H466">
        <v>3</v>
      </c>
      <c r="I466">
        <v>0</v>
      </c>
      <c r="J466">
        <v>1</v>
      </c>
      <c r="K466">
        <v>4</v>
      </c>
      <c r="L466">
        <v>0</v>
      </c>
      <c r="M466">
        <v>0</v>
      </c>
      <c r="N466">
        <v>0</v>
      </c>
    </row>
    <row r="467" spans="1:14">
      <c r="A467" t="s">
        <v>136</v>
      </c>
      <c r="B467" t="s">
        <v>1116</v>
      </c>
      <c r="C467" t="s">
        <v>553</v>
      </c>
      <c r="D467" t="s">
        <v>602</v>
      </c>
      <c r="E467" t="s">
        <v>570</v>
      </c>
      <c r="F467">
        <v>2783</v>
      </c>
      <c r="G467">
        <v>3</v>
      </c>
      <c r="H467">
        <v>0</v>
      </c>
      <c r="I467">
        <v>572</v>
      </c>
      <c r="J467">
        <v>1</v>
      </c>
      <c r="K467">
        <v>3</v>
      </c>
      <c r="L467">
        <v>0</v>
      </c>
      <c r="M467">
        <v>0</v>
      </c>
      <c r="N467">
        <v>1</v>
      </c>
    </row>
    <row r="468" spans="1:14">
      <c r="A468" t="s">
        <v>136</v>
      </c>
      <c r="B468" t="s">
        <v>1117</v>
      </c>
      <c r="C468" t="s">
        <v>557</v>
      </c>
      <c r="D468" t="s">
        <v>604</v>
      </c>
      <c r="E468" t="s">
        <v>570</v>
      </c>
      <c r="F468">
        <v>1662</v>
      </c>
      <c r="G468">
        <v>1</v>
      </c>
      <c r="H468">
        <v>2</v>
      </c>
      <c r="I468">
        <v>0</v>
      </c>
      <c r="J468">
        <v>1</v>
      </c>
      <c r="K468">
        <v>3</v>
      </c>
      <c r="L468">
        <v>0</v>
      </c>
      <c r="M468">
        <v>0</v>
      </c>
      <c r="N468">
        <v>0</v>
      </c>
    </row>
    <row r="469" spans="1:14">
      <c r="A469" t="s">
        <v>136</v>
      </c>
      <c r="B469" t="s">
        <v>1118</v>
      </c>
      <c r="C469" t="s">
        <v>572</v>
      </c>
      <c r="D469" t="s">
        <v>569</v>
      </c>
      <c r="E469" t="s">
        <v>570</v>
      </c>
      <c r="F469">
        <v>360</v>
      </c>
      <c r="G469">
        <v>0</v>
      </c>
      <c r="H469">
        <v>0</v>
      </c>
      <c r="I469">
        <v>90</v>
      </c>
      <c r="J469">
        <v>1</v>
      </c>
      <c r="K469">
        <v>0</v>
      </c>
      <c r="L469">
        <v>0</v>
      </c>
      <c r="M469">
        <v>0</v>
      </c>
      <c r="N469">
        <v>1</v>
      </c>
    </row>
    <row r="470" spans="1:14">
      <c r="A470" t="s">
        <v>131</v>
      </c>
      <c r="B470" t="s">
        <v>1119</v>
      </c>
      <c r="C470" t="s">
        <v>572</v>
      </c>
      <c r="D470" t="s">
        <v>729</v>
      </c>
      <c r="E470" t="s">
        <v>566</v>
      </c>
      <c r="F470">
        <v>3295</v>
      </c>
      <c r="G470">
        <v>0</v>
      </c>
      <c r="H470">
        <v>0</v>
      </c>
      <c r="I470">
        <v>0</v>
      </c>
      <c r="J470">
        <v>1</v>
      </c>
      <c r="K470">
        <v>0</v>
      </c>
      <c r="L470">
        <v>0</v>
      </c>
      <c r="M470">
        <v>0</v>
      </c>
      <c r="N470">
        <v>0</v>
      </c>
    </row>
    <row r="471" spans="1:14">
      <c r="A471" t="s">
        <v>131</v>
      </c>
      <c r="B471" t="s">
        <v>1120</v>
      </c>
      <c r="C471" t="s">
        <v>575</v>
      </c>
      <c r="D471" t="s">
        <v>677</v>
      </c>
      <c r="E471" t="s">
        <v>610</v>
      </c>
      <c r="F471">
        <v>2599</v>
      </c>
      <c r="G471">
        <v>17</v>
      </c>
      <c r="H471">
        <v>5</v>
      </c>
      <c r="I471">
        <v>912</v>
      </c>
      <c r="J471">
        <v>1</v>
      </c>
      <c r="K471">
        <v>22</v>
      </c>
      <c r="L471">
        <v>1</v>
      </c>
      <c r="M471">
        <v>0.76180000000000003</v>
      </c>
      <c r="N471">
        <v>0</v>
      </c>
    </row>
    <row r="472" spans="1:14">
      <c r="A472" t="s">
        <v>131</v>
      </c>
      <c r="B472" t="s">
        <v>1121</v>
      </c>
      <c r="C472" t="s">
        <v>557</v>
      </c>
      <c r="D472" t="s">
        <v>668</v>
      </c>
      <c r="E472" t="s">
        <v>555</v>
      </c>
      <c r="F472">
        <v>2316</v>
      </c>
      <c r="G472">
        <v>15</v>
      </c>
      <c r="H472">
        <v>19</v>
      </c>
      <c r="I472">
        <v>1080</v>
      </c>
      <c r="J472">
        <v>1</v>
      </c>
      <c r="K472">
        <v>34</v>
      </c>
      <c r="L472">
        <v>0</v>
      </c>
      <c r="M472">
        <v>0</v>
      </c>
      <c r="N472">
        <v>0</v>
      </c>
    </row>
    <row r="473" spans="1:14">
      <c r="A473" t="s">
        <v>131</v>
      </c>
      <c r="B473" t="s">
        <v>1122</v>
      </c>
      <c r="C473" t="s">
        <v>553</v>
      </c>
      <c r="D473" t="s">
        <v>668</v>
      </c>
      <c r="E473" t="s">
        <v>555</v>
      </c>
      <c r="F473">
        <v>1794</v>
      </c>
      <c r="G473">
        <v>1</v>
      </c>
      <c r="H473">
        <v>1</v>
      </c>
      <c r="I473">
        <v>1008</v>
      </c>
      <c r="J473">
        <v>1</v>
      </c>
      <c r="K473">
        <v>2</v>
      </c>
      <c r="L473">
        <v>0</v>
      </c>
      <c r="M473">
        <v>0</v>
      </c>
      <c r="N473">
        <v>1</v>
      </c>
    </row>
    <row r="474" spans="1:14">
      <c r="A474" t="s">
        <v>131</v>
      </c>
      <c r="B474" t="s">
        <v>1123</v>
      </c>
      <c r="C474" t="s">
        <v>553</v>
      </c>
      <c r="D474" t="s">
        <v>783</v>
      </c>
      <c r="E474" t="s">
        <v>610</v>
      </c>
      <c r="F474">
        <v>2261</v>
      </c>
      <c r="G474">
        <v>1</v>
      </c>
      <c r="H474">
        <v>3</v>
      </c>
      <c r="I474">
        <v>866</v>
      </c>
      <c r="J474">
        <v>1</v>
      </c>
      <c r="K474">
        <v>4</v>
      </c>
      <c r="L474">
        <v>0</v>
      </c>
      <c r="M474">
        <v>0</v>
      </c>
      <c r="N474">
        <v>1</v>
      </c>
    </row>
    <row r="475" spans="1:14">
      <c r="A475" t="s">
        <v>131</v>
      </c>
      <c r="B475" t="s">
        <v>1124</v>
      </c>
      <c r="C475" t="s">
        <v>557</v>
      </c>
      <c r="D475" t="s">
        <v>771</v>
      </c>
      <c r="E475" t="s">
        <v>561</v>
      </c>
      <c r="F475">
        <v>1063</v>
      </c>
      <c r="G475">
        <v>8</v>
      </c>
      <c r="H475">
        <v>7</v>
      </c>
      <c r="I475">
        <v>823</v>
      </c>
      <c r="J475">
        <v>1</v>
      </c>
      <c r="K475">
        <v>15</v>
      </c>
      <c r="L475">
        <v>0</v>
      </c>
      <c r="M475">
        <v>0</v>
      </c>
      <c r="N475">
        <v>0</v>
      </c>
    </row>
    <row r="476" spans="1:14">
      <c r="A476" t="s">
        <v>131</v>
      </c>
      <c r="B476" t="s">
        <v>1125</v>
      </c>
      <c r="C476" t="s">
        <v>557</v>
      </c>
      <c r="D476" t="s">
        <v>1126</v>
      </c>
      <c r="E476" t="s">
        <v>1127</v>
      </c>
      <c r="F476">
        <v>2640</v>
      </c>
      <c r="G476">
        <v>6</v>
      </c>
      <c r="H476">
        <v>4</v>
      </c>
      <c r="I476">
        <v>0</v>
      </c>
      <c r="J476">
        <v>1</v>
      </c>
      <c r="K476">
        <v>10</v>
      </c>
      <c r="L476">
        <v>0</v>
      </c>
      <c r="M476">
        <v>0</v>
      </c>
      <c r="N476">
        <v>0</v>
      </c>
    </row>
    <row r="477" spans="1:14">
      <c r="A477" t="s">
        <v>131</v>
      </c>
      <c r="B477" t="s">
        <v>1128</v>
      </c>
      <c r="C477" t="s">
        <v>553</v>
      </c>
      <c r="D477" t="s">
        <v>708</v>
      </c>
      <c r="E477" t="s">
        <v>570</v>
      </c>
      <c r="F477">
        <v>2614</v>
      </c>
      <c r="G477">
        <v>1</v>
      </c>
      <c r="H477">
        <v>0</v>
      </c>
      <c r="I477">
        <v>1110</v>
      </c>
      <c r="J477">
        <v>1</v>
      </c>
      <c r="K477">
        <v>1</v>
      </c>
      <c r="L477">
        <v>0</v>
      </c>
      <c r="M477">
        <v>0</v>
      </c>
      <c r="N477">
        <v>1</v>
      </c>
    </row>
    <row r="478" spans="1:14">
      <c r="A478" t="s">
        <v>131</v>
      </c>
      <c r="B478" t="s">
        <v>1129</v>
      </c>
      <c r="C478" t="s">
        <v>553</v>
      </c>
      <c r="D478" t="s">
        <v>597</v>
      </c>
      <c r="E478" t="s">
        <v>570</v>
      </c>
      <c r="F478">
        <v>1852</v>
      </c>
      <c r="G478">
        <v>0</v>
      </c>
      <c r="H478">
        <v>6</v>
      </c>
      <c r="I478">
        <v>0</v>
      </c>
      <c r="J478">
        <v>1</v>
      </c>
      <c r="K478">
        <v>6</v>
      </c>
      <c r="L478">
        <v>0</v>
      </c>
      <c r="M478">
        <v>0</v>
      </c>
      <c r="N478">
        <v>0</v>
      </c>
    </row>
    <row r="479" spans="1:14">
      <c r="A479" t="s">
        <v>131</v>
      </c>
      <c r="B479" t="s">
        <v>1130</v>
      </c>
      <c r="C479" t="s">
        <v>557</v>
      </c>
      <c r="D479" t="s">
        <v>771</v>
      </c>
      <c r="E479" t="s">
        <v>561</v>
      </c>
      <c r="F479">
        <v>1348</v>
      </c>
      <c r="G479">
        <v>7</v>
      </c>
      <c r="H479">
        <v>4</v>
      </c>
      <c r="I479">
        <v>868</v>
      </c>
      <c r="J479">
        <v>1</v>
      </c>
      <c r="K479">
        <v>11</v>
      </c>
      <c r="L479">
        <v>0</v>
      </c>
      <c r="M479">
        <v>0</v>
      </c>
      <c r="N479">
        <v>0</v>
      </c>
    </row>
    <row r="480" spans="1:14">
      <c r="A480" t="s">
        <v>131</v>
      </c>
      <c r="B480" t="s">
        <v>1131</v>
      </c>
      <c r="C480" t="s">
        <v>557</v>
      </c>
      <c r="D480" t="s">
        <v>950</v>
      </c>
      <c r="E480" t="s">
        <v>566</v>
      </c>
      <c r="F480">
        <v>2456</v>
      </c>
      <c r="G480">
        <v>2</v>
      </c>
      <c r="H480">
        <v>3</v>
      </c>
      <c r="I480">
        <v>0</v>
      </c>
      <c r="J480">
        <v>1</v>
      </c>
      <c r="K480">
        <v>5</v>
      </c>
      <c r="L480">
        <v>0</v>
      </c>
      <c r="M480">
        <v>0</v>
      </c>
      <c r="N480">
        <v>0</v>
      </c>
    </row>
    <row r="481" spans="1:14">
      <c r="A481" t="s">
        <v>131</v>
      </c>
      <c r="B481" t="s">
        <v>1132</v>
      </c>
      <c r="C481" t="s">
        <v>557</v>
      </c>
      <c r="D481" t="s">
        <v>771</v>
      </c>
      <c r="E481" t="s">
        <v>561</v>
      </c>
      <c r="F481">
        <v>1743</v>
      </c>
      <c r="G481">
        <v>11</v>
      </c>
      <c r="H481">
        <v>1</v>
      </c>
      <c r="I481">
        <v>983</v>
      </c>
      <c r="J481">
        <v>1</v>
      </c>
      <c r="K481">
        <v>12</v>
      </c>
      <c r="L481">
        <v>0</v>
      </c>
      <c r="M481">
        <v>0</v>
      </c>
      <c r="N481">
        <v>0</v>
      </c>
    </row>
    <row r="482" spans="1:14">
      <c r="A482" t="s">
        <v>131</v>
      </c>
      <c r="B482" t="s">
        <v>1133</v>
      </c>
      <c r="C482" t="s">
        <v>557</v>
      </c>
      <c r="D482" t="s">
        <v>677</v>
      </c>
      <c r="E482" t="s">
        <v>610</v>
      </c>
      <c r="F482">
        <v>2615</v>
      </c>
      <c r="G482">
        <v>1</v>
      </c>
      <c r="H482">
        <v>0</v>
      </c>
      <c r="I482">
        <v>1123</v>
      </c>
      <c r="J482">
        <v>1</v>
      </c>
      <c r="K482">
        <v>1</v>
      </c>
      <c r="L482">
        <v>0</v>
      </c>
      <c r="M482">
        <v>0</v>
      </c>
      <c r="N482">
        <v>0</v>
      </c>
    </row>
    <row r="483" spans="1:14">
      <c r="A483" t="s">
        <v>131</v>
      </c>
      <c r="B483" t="s">
        <v>1134</v>
      </c>
      <c r="C483" t="s">
        <v>553</v>
      </c>
      <c r="I483">
        <v>0</v>
      </c>
      <c r="N483">
        <v>0</v>
      </c>
    </row>
    <row r="484" spans="1:14">
      <c r="A484" t="s">
        <v>131</v>
      </c>
      <c r="B484" t="s">
        <v>1135</v>
      </c>
      <c r="C484" t="s">
        <v>553</v>
      </c>
      <c r="D484" t="s">
        <v>862</v>
      </c>
      <c r="E484" t="s">
        <v>570</v>
      </c>
      <c r="F484">
        <v>3085</v>
      </c>
      <c r="G484">
        <v>1</v>
      </c>
      <c r="H484">
        <v>2</v>
      </c>
      <c r="I484">
        <v>0</v>
      </c>
      <c r="J484">
        <v>1</v>
      </c>
      <c r="K484">
        <v>3</v>
      </c>
      <c r="L484">
        <v>0</v>
      </c>
      <c r="M484">
        <v>0</v>
      </c>
      <c r="N484">
        <v>0</v>
      </c>
    </row>
    <row r="485" spans="1:14">
      <c r="A485" t="s">
        <v>131</v>
      </c>
      <c r="B485" t="s">
        <v>1136</v>
      </c>
      <c r="C485" t="s">
        <v>557</v>
      </c>
      <c r="D485" t="s">
        <v>569</v>
      </c>
      <c r="E485" t="s">
        <v>570</v>
      </c>
      <c r="F485">
        <v>1786</v>
      </c>
      <c r="G485">
        <v>4</v>
      </c>
      <c r="H485">
        <v>12</v>
      </c>
      <c r="I485">
        <v>396</v>
      </c>
      <c r="J485">
        <v>1</v>
      </c>
      <c r="K485">
        <v>16</v>
      </c>
      <c r="L485">
        <v>0</v>
      </c>
      <c r="M485">
        <v>0</v>
      </c>
      <c r="N485">
        <v>0</v>
      </c>
    </row>
    <row r="486" spans="1:14">
      <c r="A486" t="s">
        <v>131</v>
      </c>
      <c r="B486" t="s">
        <v>1137</v>
      </c>
      <c r="C486" t="s">
        <v>553</v>
      </c>
      <c r="D486" t="s">
        <v>602</v>
      </c>
      <c r="E486" t="s">
        <v>570</v>
      </c>
      <c r="F486">
        <v>2261</v>
      </c>
      <c r="G486">
        <v>2</v>
      </c>
      <c r="H486">
        <v>3</v>
      </c>
      <c r="I486">
        <v>474</v>
      </c>
      <c r="J486">
        <v>1</v>
      </c>
      <c r="K486">
        <v>5</v>
      </c>
      <c r="L486">
        <v>0</v>
      </c>
      <c r="M486">
        <v>0</v>
      </c>
      <c r="N486">
        <v>1</v>
      </c>
    </row>
    <row r="487" spans="1:14">
      <c r="A487" t="s">
        <v>131</v>
      </c>
      <c r="B487" t="s">
        <v>1138</v>
      </c>
      <c r="C487" t="s">
        <v>557</v>
      </c>
      <c r="D487" t="s">
        <v>771</v>
      </c>
      <c r="E487" t="s">
        <v>561</v>
      </c>
      <c r="F487">
        <v>2447</v>
      </c>
      <c r="G487">
        <v>3</v>
      </c>
      <c r="H487">
        <v>4</v>
      </c>
      <c r="I487">
        <v>1339</v>
      </c>
      <c r="J487">
        <v>1</v>
      </c>
      <c r="K487">
        <v>7</v>
      </c>
      <c r="L487">
        <v>0</v>
      </c>
      <c r="M487">
        <v>0</v>
      </c>
      <c r="N487">
        <v>0</v>
      </c>
    </row>
    <row r="488" spans="1:14">
      <c r="A488" t="s">
        <v>131</v>
      </c>
      <c r="B488" t="s">
        <v>1139</v>
      </c>
      <c r="C488" t="s">
        <v>553</v>
      </c>
      <c r="D488" t="s">
        <v>599</v>
      </c>
      <c r="E488" t="s">
        <v>570</v>
      </c>
      <c r="F488">
        <v>3090</v>
      </c>
      <c r="G488">
        <v>1</v>
      </c>
      <c r="H488">
        <v>0</v>
      </c>
      <c r="I488">
        <v>869</v>
      </c>
      <c r="J488">
        <v>1</v>
      </c>
      <c r="K488">
        <v>1</v>
      </c>
      <c r="L488">
        <v>0</v>
      </c>
      <c r="M488">
        <v>0</v>
      </c>
      <c r="N488">
        <v>1</v>
      </c>
    </row>
    <row r="489" spans="1:14">
      <c r="A489" t="s">
        <v>131</v>
      </c>
      <c r="B489" t="s">
        <v>1140</v>
      </c>
      <c r="C489" t="s">
        <v>575</v>
      </c>
      <c r="D489" t="s">
        <v>862</v>
      </c>
      <c r="E489" t="s">
        <v>570</v>
      </c>
      <c r="F489">
        <v>2218</v>
      </c>
      <c r="G489">
        <v>8</v>
      </c>
      <c r="H489">
        <v>0</v>
      </c>
      <c r="I489">
        <v>0</v>
      </c>
      <c r="J489">
        <v>1</v>
      </c>
      <c r="K489">
        <v>8</v>
      </c>
      <c r="L489">
        <v>1</v>
      </c>
      <c r="M489">
        <v>0.3246</v>
      </c>
      <c r="N489">
        <v>0</v>
      </c>
    </row>
    <row r="490" spans="1:14">
      <c r="A490" t="s">
        <v>131</v>
      </c>
      <c r="B490" t="s">
        <v>1141</v>
      </c>
      <c r="C490" t="s">
        <v>557</v>
      </c>
      <c r="D490" t="s">
        <v>1142</v>
      </c>
      <c r="E490" t="s">
        <v>561</v>
      </c>
      <c r="F490">
        <v>2400</v>
      </c>
      <c r="G490">
        <v>6</v>
      </c>
      <c r="H490">
        <v>6</v>
      </c>
      <c r="I490">
        <v>832</v>
      </c>
      <c r="J490">
        <v>1</v>
      </c>
      <c r="K490">
        <v>12</v>
      </c>
      <c r="L490">
        <v>0</v>
      </c>
      <c r="M490">
        <v>0</v>
      </c>
      <c r="N490">
        <v>0</v>
      </c>
    </row>
    <row r="491" spans="1:14">
      <c r="A491" t="s">
        <v>131</v>
      </c>
      <c r="B491" t="s">
        <v>1143</v>
      </c>
      <c r="C491" t="s">
        <v>575</v>
      </c>
      <c r="D491" t="s">
        <v>616</v>
      </c>
      <c r="E491" t="s">
        <v>566</v>
      </c>
      <c r="F491">
        <v>1900</v>
      </c>
      <c r="G491">
        <v>13</v>
      </c>
      <c r="H491">
        <v>6</v>
      </c>
      <c r="I491">
        <v>577</v>
      </c>
      <c r="J491">
        <v>1</v>
      </c>
      <c r="K491">
        <v>19</v>
      </c>
      <c r="L491">
        <v>1</v>
      </c>
      <c r="M491">
        <v>0.9</v>
      </c>
      <c r="N491">
        <v>0</v>
      </c>
    </row>
    <row r="492" spans="1:14">
      <c r="A492" t="s">
        <v>131</v>
      </c>
      <c r="B492" t="s">
        <v>1144</v>
      </c>
      <c r="C492" t="s">
        <v>553</v>
      </c>
      <c r="D492" t="s">
        <v>771</v>
      </c>
      <c r="E492" t="s">
        <v>561</v>
      </c>
      <c r="F492">
        <v>1747</v>
      </c>
      <c r="G492">
        <v>0</v>
      </c>
      <c r="H492">
        <v>3</v>
      </c>
      <c r="I492">
        <v>242</v>
      </c>
      <c r="J492">
        <v>1</v>
      </c>
      <c r="K492">
        <v>3</v>
      </c>
      <c r="L492">
        <v>0</v>
      </c>
      <c r="M492">
        <v>0</v>
      </c>
      <c r="N492">
        <v>1</v>
      </c>
    </row>
    <row r="493" spans="1:14">
      <c r="A493" t="s">
        <v>131</v>
      </c>
      <c r="B493" t="s">
        <v>1145</v>
      </c>
      <c r="C493" t="s">
        <v>557</v>
      </c>
      <c r="I493">
        <v>0</v>
      </c>
      <c r="N493">
        <v>0</v>
      </c>
    </row>
    <row r="494" spans="1:14">
      <c r="A494" t="s">
        <v>131</v>
      </c>
      <c r="B494" t="s">
        <v>1146</v>
      </c>
      <c r="C494" t="s">
        <v>572</v>
      </c>
      <c r="D494" t="s">
        <v>1147</v>
      </c>
      <c r="E494" t="s">
        <v>561</v>
      </c>
      <c r="F494">
        <v>2970</v>
      </c>
      <c r="G494">
        <v>0</v>
      </c>
      <c r="H494">
        <v>1</v>
      </c>
      <c r="I494">
        <v>0</v>
      </c>
      <c r="J494">
        <v>1</v>
      </c>
      <c r="K494">
        <v>1</v>
      </c>
      <c r="L494">
        <v>0</v>
      </c>
      <c r="M494">
        <v>0</v>
      </c>
      <c r="N494">
        <v>0</v>
      </c>
    </row>
    <row r="495" spans="1:14">
      <c r="A495" t="s">
        <v>131</v>
      </c>
      <c r="B495" t="s">
        <v>1148</v>
      </c>
      <c r="C495" t="s">
        <v>572</v>
      </c>
      <c r="D495" t="s">
        <v>936</v>
      </c>
      <c r="E495" t="s">
        <v>561</v>
      </c>
      <c r="F495">
        <v>2880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</row>
    <row r="496" spans="1:14">
      <c r="A496" t="s">
        <v>123</v>
      </c>
      <c r="B496" t="s">
        <v>1149</v>
      </c>
      <c r="C496" t="s">
        <v>572</v>
      </c>
      <c r="D496" t="s">
        <v>668</v>
      </c>
      <c r="E496" t="s">
        <v>555</v>
      </c>
      <c r="F496">
        <v>1859</v>
      </c>
      <c r="G496">
        <v>0</v>
      </c>
      <c r="H496">
        <v>0</v>
      </c>
      <c r="I496">
        <v>990</v>
      </c>
      <c r="J496">
        <v>1</v>
      </c>
      <c r="K496">
        <v>0</v>
      </c>
      <c r="L496">
        <v>0</v>
      </c>
      <c r="M496">
        <v>0</v>
      </c>
      <c r="N496">
        <v>1</v>
      </c>
    </row>
    <row r="497" spans="1:14">
      <c r="A497" t="s">
        <v>123</v>
      </c>
      <c r="B497" t="s">
        <v>1150</v>
      </c>
      <c r="C497" t="s">
        <v>553</v>
      </c>
      <c r="D497" t="s">
        <v>668</v>
      </c>
      <c r="E497" t="s">
        <v>555</v>
      </c>
      <c r="F497">
        <v>2018</v>
      </c>
      <c r="G497">
        <v>2</v>
      </c>
      <c r="H497">
        <v>1</v>
      </c>
      <c r="I497">
        <v>1120</v>
      </c>
      <c r="J497">
        <v>1</v>
      </c>
      <c r="K497">
        <v>3</v>
      </c>
      <c r="L497">
        <v>0</v>
      </c>
      <c r="M497">
        <v>0</v>
      </c>
      <c r="N497">
        <v>1</v>
      </c>
    </row>
    <row r="498" spans="1:14">
      <c r="A498" t="s">
        <v>123</v>
      </c>
      <c r="B498" t="s">
        <v>1151</v>
      </c>
      <c r="C498" t="s">
        <v>557</v>
      </c>
      <c r="D498" t="s">
        <v>599</v>
      </c>
      <c r="E498" t="s">
        <v>570</v>
      </c>
      <c r="F498">
        <v>2378</v>
      </c>
      <c r="G498">
        <v>5</v>
      </c>
      <c r="H498">
        <v>3</v>
      </c>
      <c r="I498">
        <v>834</v>
      </c>
      <c r="J498">
        <v>1</v>
      </c>
      <c r="K498">
        <v>8</v>
      </c>
      <c r="L498">
        <v>0</v>
      </c>
      <c r="M498">
        <v>0</v>
      </c>
      <c r="N498">
        <v>0</v>
      </c>
    </row>
    <row r="499" spans="1:14">
      <c r="A499" t="s">
        <v>123</v>
      </c>
      <c r="B499" t="s">
        <v>1152</v>
      </c>
      <c r="C499" t="s">
        <v>575</v>
      </c>
      <c r="D499" t="s">
        <v>708</v>
      </c>
      <c r="E499" t="s">
        <v>570</v>
      </c>
      <c r="F499">
        <v>581</v>
      </c>
      <c r="G499">
        <v>2</v>
      </c>
      <c r="H499">
        <v>3</v>
      </c>
      <c r="I499">
        <v>230</v>
      </c>
      <c r="J499">
        <v>1</v>
      </c>
      <c r="K499">
        <v>5</v>
      </c>
      <c r="L499">
        <v>0</v>
      </c>
      <c r="M499">
        <v>0</v>
      </c>
      <c r="N499">
        <v>0</v>
      </c>
    </row>
    <row r="500" spans="1:14">
      <c r="A500" t="s">
        <v>123</v>
      </c>
      <c r="B500" t="s">
        <v>1153</v>
      </c>
      <c r="C500" t="s">
        <v>553</v>
      </c>
      <c r="D500" t="s">
        <v>668</v>
      </c>
      <c r="E500" t="s">
        <v>555</v>
      </c>
      <c r="F500">
        <v>2280</v>
      </c>
      <c r="G500">
        <v>2</v>
      </c>
      <c r="H500">
        <v>8</v>
      </c>
      <c r="I500">
        <v>1159</v>
      </c>
      <c r="J500">
        <v>1</v>
      </c>
      <c r="K500">
        <v>10</v>
      </c>
      <c r="L500">
        <v>0</v>
      </c>
      <c r="M500">
        <v>0</v>
      </c>
      <c r="N500">
        <v>1</v>
      </c>
    </row>
    <row r="501" spans="1:14">
      <c r="A501" t="s">
        <v>123</v>
      </c>
      <c r="B501" t="s">
        <v>1154</v>
      </c>
      <c r="C501" t="s">
        <v>557</v>
      </c>
      <c r="I501">
        <v>723</v>
      </c>
      <c r="N501">
        <v>0</v>
      </c>
    </row>
    <row r="502" spans="1:14">
      <c r="A502" t="s">
        <v>123</v>
      </c>
      <c r="B502" t="s">
        <v>1155</v>
      </c>
      <c r="C502" t="s">
        <v>557</v>
      </c>
      <c r="D502" t="s">
        <v>668</v>
      </c>
      <c r="E502" t="s">
        <v>555</v>
      </c>
      <c r="F502">
        <v>1462</v>
      </c>
      <c r="G502">
        <v>3</v>
      </c>
      <c r="H502">
        <v>1</v>
      </c>
      <c r="I502">
        <v>1170</v>
      </c>
      <c r="J502">
        <v>1</v>
      </c>
      <c r="K502">
        <v>4</v>
      </c>
      <c r="L502">
        <v>0</v>
      </c>
      <c r="M502">
        <v>0</v>
      </c>
      <c r="N502">
        <v>0</v>
      </c>
    </row>
    <row r="503" spans="1:14">
      <c r="A503" t="s">
        <v>123</v>
      </c>
      <c r="B503" t="s">
        <v>1156</v>
      </c>
      <c r="C503" t="s">
        <v>557</v>
      </c>
      <c r="D503" t="s">
        <v>554</v>
      </c>
      <c r="E503" t="s">
        <v>555</v>
      </c>
      <c r="F503">
        <v>2176</v>
      </c>
      <c r="G503">
        <v>2</v>
      </c>
      <c r="H503">
        <v>3</v>
      </c>
      <c r="I503">
        <v>749</v>
      </c>
      <c r="J503">
        <v>1</v>
      </c>
      <c r="K503">
        <v>5</v>
      </c>
      <c r="L503">
        <v>0</v>
      </c>
      <c r="M503">
        <v>0</v>
      </c>
      <c r="N503">
        <v>0</v>
      </c>
    </row>
    <row r="504" spans="1:14">
      <c r="A504" t="s">
        <v>123</v>
      </c>
      <c r="B504" t="s">
        <v>1157</v>
      </c>
      <c r="C504" t="s">
        <v>553</v>
      </c>
      <c r="D504" t="s">
        <v>558</v>
      </c>
      <c r="E504" t="s">
        <v>555</v>
      </c>
      <c r="F504">
        <v>2656</v>
      </c>
      <c r="G504">
        <v>4</v>
      </c>
      <c r="H504">
        <v>4</v>
      </c>
      <c r="I504">
        <v>680</v>
      </c>
      <c r="J504">
        <v>1</v>
      </c>
      <c r="K504">
        <v>8</v>
      </c>
      <c r="L504">
        <v>0</v>
      </c>
      <c r="M504">
        <v>0</v>
      </c>
      <c r="N504">
        <v>1</v>
      </c>
    </row>
    <row r="505" spans="1:14">
      <c r="A505" t="s">
        <v>123</v>
      </c>
      <c r="B505" t="s">
        <v>1158</v>
      </c>
      <c r="C505" t="s">
        <v>557</v>
      </c>
      <c r="D505" t="s">
        <v>668</v>
      </c>
      <c r="E505" t="s">
        <v>555</v>
      </c>
      <c r="F505">
        <v>683</v>
      </c>
      <c r="G505">
        <v>2</v>
      </c>
      <c r="H505">
        <v>4</v>
      </c>
      <c r="I505">
        <v>314</v>
      </c>
      <c r="J505">
        <v>1</v>
      </c>
      <c r="K505">
        <v>6</v>
      </c>
      <c r="L505">
        <v>0</v>
      </c>
      <c r="M505">
        <v>0</v>
      </c>
      <c r="N505">
        <v>0</v>
      </c>
    </row>
    <row r="506" spans="1:14">
      <c r="A506" t="s">
        <v>123</v>
      </c>
      <c r="B506" t="s">
        <v>1159</v>
      </c>
      <c r="C506" t="s">
        <v>553</v>
      </c>
      <c r="D506" t="s">
        <v>677</v>
      </c>
      <c r="E506" t="s">
        <v>610</v>
      </c>
      <c r="F506">
        <v>1490</v>
      </c>
      <c r="G506">
        <v>1</v>
      </c>
      <c r="H506">
        <v>0</v>
      </c>
      <c r="I506">
        <v>630</v>
      </c>
      <c r="J506">
        <v>1</v>
      </c>
      <c r="K506">
        <v>1</v>
      </c>
      <c r="L506">
        <v>0</v>
      </c>
      <c r="M506">
        <v>0</v>
      </c>
      <c r="N506">
        <v>1</v>
      </c>
    </row>
    <row r="507" spans="1:14">
      <c r="A507" t="s">
        <v>123</v>
      </c>
      <c r="B507" t="s">
        <v>1160</v>
      </c>
      <c r="C507" t="s">
        <v>553</v>
      </c>
      <c r="D507" t="s">
        <v>554</v>
      </c>
      <c r="E507" t="s">
        <v>555</v>
      </c>
      <c r="F507">
        <v>2520</v>
      </c>
      <c r="G507">
        <v>5</v>
      </c>
      <c r="H507">
        <v>1</v>
      </c>
      <c r="I507">
        <v>561</v>
      </c>
      <c r="J507">
        <v>1</v>
      </c>
      <c r="K507">
        <v>6</v>
      </c>
      <c r="L507">
        <v>0</v>
      </c>
      <c r="M507">
        <v>0</v>
      </c>
      <c r="N507">
        <v>1</v>
      </c>
    </row>
    <row r="508" spans="1:14">
      <c r="A508" t="s">
        <v>123</v>
      </c>
      <c r="B508" t="s">
        <v>1161</v>
      </c>
      <c r="C508" t="s">
        <v>575</v>
      </c>
      <c r="D508" t="s">
        <v>741</v>
      </c>
      <c r="E508" t="s">
        <v>555</v>
      </c>
      <c r="F508">
        <v>2241</v>
      </c>
      <c r="G508">
        <v>19</v>
      </c>
      <c r="H508">
        <v>7</v>
      </c>
      <c r="I508">
        <v>0</v>
      </c>
      <c r="J508">
        <v>1</v>
      </c>
      <c r="K508">
        <v>26</v>
      </c>
      <c r="L508">
        <v>1</v>
      </c>
      <c r="M508">
        <v>1.0442</v>
      </c>
      <c r="N508">
        <v>0</v>
      </c>
    </row>
    <row r="509" spans="1:14">
      <c r="A509" t="s">
        <v>123</v>
      </c>
      <c r="B509" t="s">
        <v>1162</v>
      </c>
      <c r="C509" t="s">
        <v>553</v>
      </c>
      <c r="D509" t="s">
        <v>675</v>
      </c>
      <c r="E509" t="s">
        <v>555</v>
      </c>
      <c r="F509">
        <v>2553</v>
      </c>
      <c r="G509">
        <v>2</v>
      </c>
      <c r="H509">
        <v>7</v>
      </c>
      <c r="I509">
        <v>0</v>
      </c>
      <c r="J509">
        <v>1</v>
      </c>
      <c r="K509">
        <v>9</v>
      </c>
      <c r="L509">
        <v>0</v>
      </c>
      <c r="M509">
        <v>0</v>
      </c>
      <c r="N509">
        <v>0</v>
      </c>
    </row>
    <row r="510" spans="1:14">
      <c r="A510" t="s">
        <v>123</v>
      </c>
      <c r="B510" t="s">
        <v>1163</v>
      </c>
      <c r="C510" t="s">
        <v>557</v>
      </c>
      <c r="D510" t="s">
        <v>668</v>
      </c>
      <c r="E510" t="s">
        <v>555</v>
      </c>
      <c r="F510">
        <v>1947</v>
      </c>
      <c r="G510">
        <v>5</v>
      </c>
      <c r="H510">
        <v>3</v>
      </c>
      <c r="I510">
        <v>192</v>
      </c>
      <c r="J510">
        <v>1</v>
      </c>
      <c r="K510">
        <v>8</v>
      </c>
      <c r="L510">
        <v>0</v>
      </c>
      <c r="M510">
        <v>0</v>
      </c>
      <c r="N510">
        <v>0</v>
      </c>
    </row>
    <row r="511" spans="1:14">
      <c r="A511" t="s">
        <v>123</v>
      </c>
      <c r="B511" t="s">
        <v>1164</v>
      </c>
      <c r="C511" t="s">
        <v>553</v>
      </c>
      <c r="D511" t="s">
        <v>554</v>
      </c>
      <c r="E511" t="s">
        <v>555</v>
      </c>
      <c r="F511">
        <v>2880</v>
      </c>
      <c r="G511">
        <v>2</v>
      </c>
      <c r="H511">
        <v>0</v>
      </c>
      <c r="I511">
        <v>745</v>
      </c>
      <c r="J511">
        <v>1</v>
      </c>
      <c r="K511">
        <v>2</v>
      </c>
      <c r="L511">
        <v>0</v>
      </c>
      <c r="M511">
        <v>0</v>
      </c>
      <c r="N511">
        <v>1</v>
      </c>
    </row>
    <row r="512" spans="1:14">
      <c r="A512" t="s">
        <v>123</v>
      </c>
      <c r="B512" t="s">
        <v>1165</v>
      </c>
      <c r="C512" t="s">
        <v>557</v>
      </c>
      <c r="D512" t="s">
        <v>741</v>
      </c>
      <c r="E512" t="s">
        <v>555</v>
      </c>
      <c r="F512">
        <v>2743</v>
      </c>
      <c r="G512">
        <v>2</v>
      </c>
      <c r="H512">
        <v>5</v>
      </c>
      <c r="I512">
        <v>0</v>
      </c>
      <c r="J512">
        <v>1</v>
      </c>
      <c r="K512">
        <v>7</v>
      </c>
      <c r="L512">
        <v>0</v>
      </c>
      <c r="M512">
        <v>0</v>
      </c>
      <c r="N512">
        <v>0</v>
      </c>
    </row>
    <row r="513" spans="1:14">
      <c r="A513" t="s">
        <v>123</v>
      </c>
      <c r="B513" t="s">
        <v>1166</v>
      </c>
      <c r="C513" t="s">
        <v>557</v>
      </c>
      <c r="D513" t="s">
        <v>688</v>
      </c>
      <c r="E513" t="s">
        <v>555</v>
      </c>
      <c r="F513">
        <v>2083</v>
      </c>
      <c r="G513">
        <v>4</v>
      </c>
      <c r="H513">
        <v>2</v>
      </c>
      <c r="I513">
        <v>0</v>
      </c>
      <c r="J513">
        <v>1</v>
      </c>
      <c r="K513">
        <v>6</v>
      </c>
      <c r="L513">
        <v>0</v>
      </c>
      <c r="M513">
        <v>0</v>
      </c>
      <c r="N513">
        <v>0</v>
      </c>
    </row>
    <row r="514" spans="1:14">
      <c r="A514" t="s">
        <v>123</v>
      </c>
      <c r="B514" t="s">
        <v>1167</v>
      </c>
      <c r="C514" t="s">
        <v>553</v>
      </c>
      <c r="D514" t="s">
        <v>775</v>
      </c>
      <c r="E514" t="s">
        <v>570</v>
      </c>
      <c r="F514">
        <v>2965</v>
      </c>
      <c r="G514">
        <v>4</v>
      </c>
      <c r="H514">
        <v>0</v>
      </c>
      <c r="I514">
        <v>928</v>
      </c>
      <c r="J514">
        <v>1</v>
      </c>
      <c r="K514">
        <v>4</v>
      </c>
      <c r="L514">
        <v>0</v>
      </c>
      <c r="M514">
        <v>0</v>
      </c>
      <c r="N514">
        <v>1</v>
      </c>
    </row>
    <row r="515" spans="1:14">
      <c r="A515" t="s">
        <v>123</v>
      </c>
      <c r="B515" t="s">
        <v>1168</v>
      </c>
      <c r="C515" t="s">
        <v>575</v>
      </c>
      <c r="D515" t="s">
        <v>1169</v>
      </c>
      <c r="E515" t="s">
        <v>1170</v>
      </c>
      <c r="F515">
        <v>1992</v>
      </c>
      <c r="G515">
        <v>7</v>
      </c>
      <c r="H515">
        <v>3</v>
      </c>
      <c r="I515">
        <v>651</v>
      </c>
      <c r="J515">
        <v>1</v>
      </c>
      <c r="K515">
        <v>10</v>
      </c>
      <c r="L515">
        <v>1</v>
      </c>
      <c r="M515">
        <v>0.45179999999999998</v>
      </c>
      <c r="N515">
        <v>0</v>
      </c>
    </row>
    <row r="516" spans="1:14">
      <c r="A516" t="s">
        <v>123</v>
      </c>
      <c r="B516" t="s">
        <v>1171</v>
      </c>
      <c r="C516" t="s">
        <v>575</v>
      </c>
      <c r="D516" t="s">
        <v>741</v>
      </c>
      <c r="E516" t="s">
        <v>555</v>
      </c>
      <c r="F516">
        <v>2367</v>
      </c>
      <c r="G516">
        <v>7</v>
      </c>
      <c r="H516">
        <v>9</v>
      </c>
      <c r="I516">
        <v>0</v>
      </c>
      <c r="J516">
        <v>1</v>
      </c>
      <c r="K516">
        <v>16</v>
      </c>
      <c r="L516">
        <v>1</v>
      </c>
      <c r="M516">
        <v>0.60840000000000005</v>
      </c>
      <c r="N516">
        <v>0</v>
      </c>
    </row>
    <row r="517" spans="1:14">
      <c r="A517" t="s">
        <v>123</v>
      </c>
      <c r="B517" t="s">
        <v>1172</v>
      </c>
      <c r="C517" t="s">
        <v>575</v>
      </c>
      <c r="D517" t="s">
        <v>554</v>
      </c>
      <c r="E517" t="s">
        <v>555</v>
      </c>
      <c r="F517">
        <v>2026</v>
      </c>
      <c r="G517">
        <v>9</v>
      </c>
      <c r="H517">
        <v>6</v>
      </c>
      <c r="I517">
        <v>523</v>
      </c>
      <c r="J517">
        <v>1</v>
      </c>
      <c r="K517">
        <v>15</v>
      </c>
      <c r="L517">
        <v>1</v>
      </c>
      <c r="M517">
        <v>0.6663</v>
      </c>
      <c r="N517">
        <v>0</v>
      </c>
    </row>
    <row r="518" spans="1:14">
      <c r="A518" t="s">
        <v>123</v>
      </c>
      <c r="B518" t="s">
        <v>1173</v>
      </c>
      <c r="C518" t="s">
        <v>553</v>
      </c>
      <c r="D518" t="s">
        <v>1174</v>
      </c>
      <c r="E518" t="s">
        <v>1170</v>
      </c>
      <c r="F518">
        <v>2249</v>
      </c>
      <c r="G518">
        <v>1</v>
      </c>
      <c r="H518">
        <v>4</v>
      </c>
      <c r="I518">
        <v>39</v>
      </c>
      <c r="J518">
        <v>1</v>
      </c>
      <c r="K518">
        <v>5</v>
      </c>
      <c r="L518">
        <v>0</v>
      </c>
      <c r="M518">
        <v>0</v>
      </c>
      <c r="N518">
        <v>1</v>
      </c>
    </row>
    <row r="519" spans="1:14">
      <c r="A519" t="s">
        <v>123</v>
      </c>
      <c r="B519" t="s">
        <v>1175</v>
      </c>
      <c r="C519" t="s">
        <v>572</v>
      </c>
      <c r="D519" t="s">
        <v>695</v>
      </c>
      <c r="E519" t="s">
        <v>555</v>
      </c>
      <c r="F519">
        <v>3060</v>
      </c>
      <c r="G519">
        <v>0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0</v>
      </c>
    </row>
    <row r="520" spans="1:14">
      <c r="A520" t="s">
        <v>123</v>
      </c>
      <c r="B520" t="s">
        <v>1176</v>
      </c>
      <c r="C520" t="s">
        <v>572</v>
      </c>
      <c r="D520" t="s">
        <v>741</v>
      </c>
      <c r="E520" t="s">
        <v>555</v>
      </c>
      <c r="F520">
        <v>3060</v>
      </c>
      <c r="G520">
        <v>0</v>
      </c>
      <c r="H520">
        <v>1</v>
      </c>
      <c r="I520">
        <v>0</v>
      </c>
      <c r="J520">
        <v>1</v>
      </c>
      <c r="K520">
        <v>1</v>
      </c>
      <c r="L520">
        <v>0</v>
      </c>
      <c r="M520">
        <v>0</v>
      </c>
      <c r="N520">
        <v>0</v>
      </c>
    </row>
    <row r="521" spans="1:14">
      <c r="A521" t="s">
        <v>123</v>
      </c>
      <c r="B521" t="s">
        <v>1177</v>
      </c>
      <c r="C521" t="s">
        <v>557</v>
      </c>
      <c r="D521" t="s">
        <v>675</v>
      </c>
      <c r="E521" t="s">
        <v>555</v>
      </c>
      <c r="F521">
        <v>948</v>
      </c>
      <c r="G521">
        <v>4</v>
      </c>
      <c r="H521">
        <v>3</v>
      </c>
      <c r="I521">
        <v>0</v>
      </c>
      <c r="J521">
        <v>1</v>
      </c>
      <c r="K521">
        <v>7</v>
      </c>
      <c r="L521">
        <v>0</v>
      </c>
      <c r="M521">
        <v>0</v>
      </c>
      <c r="N521">
        <v>0</v>
      </c>
    </row>
    <row r="522" spans="1:14">
      <c r="A522" t="s">
        <v>137</v>
      </c>
      <c r="B522" t="s">
        <v>1178</v>
      </c>
      <c r="C522" t="s">
        <v>553</v>
      </c>
      <c r="D522" t="s">
        <v>1179</v>
      </c>
      <c r="E522" t="s">
        <v>561</v>
      </c>
      <c r="F522">
        <v>2327</v>
      </c>
      <c r="G522">
        <v>0</v>
      </c>
      <c r="H522">
        <v>2</v>
      </c>
      <c r="I522">
        <v>0</v>
      </c>
      <c r="J522">
        <v>1</v>
      </c>
      <c r="K522">
        <v>2</v>
      </c>
      <c r="L522">
        <v>0</v>
      </c>
      <c r="M522">
        <v>0</v>
      </c>
      <c r="N522">
        <v>0</v>
      </c>
    </row>
    <row r="523" spans="1:14">
      <c r="A523" t="s">
        <v>137</v>
      </c>
      <c r="B523" t="s">
        <v>1180</v>
      </c>
      <c r="C523" t="s">
        <v>557</v>
      </c>
      <c r="D523" t="s">
        <v>1181</v>
      </c>
      <c r="E523" t="s">
        <v>570</v>
      </c>
      <c r="F523">
        <v>3195</v>
      </c>
      <c r="G523">
        <v>16</v>
      </c>
      <c r="H523">
        <v>4</v>
      </c>
      <c r="I523">
        <v>102</v>
      </c>
      <c r="J523">
        <v>1</v>
      </c>
      <c r="K523">
        <v>20</v>
      </c>
      <c r="L523">
        <v>0</v>
      </c>
      <c r="M523">
        <v>0</v>
      </c>
      <c r="N523">
        <v>0</v>
      </c>
    </row>
    <row r="524" spans="1:14">
      <c r="A524" t="s">
        <v>137</v>
      </c>
      <c r="B524" t="s">
        <v>1182</v>
      </c>
      <c r="C524" t="s">
        <v>575</v>
      </c>
      <c r="I524">
        <v>0</v>
      </c>
      <c r="N524">
        <v>0</v>
      </c>
    </row>
    <row r="525" spans="1:14">
      <c r="A525" t="s">
        <v>137</v>
      </c>
      <c r="B525" t="s">
        <v>1183</v>
      </c>
      <c r="C525" t="s">
        <v>553</v>
      </c>
      <c r="D525" t="s">
        <v>1179</v>
      </c>
      <c r="E525" t="s">
        <v>561</v>
      </c>
      <c r="F525">
        <v>1780</v>
      </c>
      <c r="G525">
        <v>1</v>
      </c>
      <c r="H525">
        <v>0</v>
      </c>
      <c r="I525">
        <v>0</v>
      </c>
      <c r="J525">
        <v>1</v>
      </c>
      <c r="K525">
        <v>1</v>
      </c>
      <c r="L525">
        <v>0</v>
      </c>
      <c r="M525">
        <v>0</v>
      </c>
      <c r="N525">
        <v>0</v>
      </c>
    </row>
    <row r="526" spans="1:14">
      <c r="A526" t="s">
        <v>137</v>
      </c>
      <c r="B526" t="s">
        <v>1184</v>
      </c>
      <c r="C526" t="s">
        <v>553</v>
      </c>
      <c r="I526">
        <v>0</v>
      </c>
      <c r="N526">
        <v>0</v>
      </c>
    </row>
    <row r="527" spans="1:14">
      <c r="A527" t="s">
        <v>137</v>
      </c>
      <c r="B527" t="s">
        <v>1185</v>
      </c>
      <c r="C527" t="s">
        <v>557</v>
      </c>
      <c r="D527" t="s">
        <v>824</v>
      </c>
      <c r="E527" t="s">
        <v>610</v>
      </c>
      <c r="F527">
        <v>934</v>
      </c>
      <c r="G527">
        <v>0</v>
      </c>
      <c r="H527">
        <v>0</v>
      </c>
      <c r="I527">
        <v>285</v>
      </c>
      <c r="J527">
        <v>1</v>
      </c>
      <c r="K527">
        <v>0</v>
      </c>
      <c r="L527">
        <v>0</v>
      </c>
      <c r="M527">
        <v>0</v>
      </c>
      <c r="N527">
        <v>0</v>
      </c>
    </row>
    <row r="528" spans="1:14">
      <c r="A528" t="s">
        <v>137</v>
      </c>
      <c r="B528" t="s">
        <v>1186</v>
      </c>
      <c r="C528" t="s">
        <v>557</v>
      </c>
      <c r="I528">
        <v>0</v>
      </c>
      <c r="N528">
        <v>0</v>
      </c>
    </row>
    <row r="529" spans="1:14">
      <c r="A529" t="s">
        <v>137</v>
      </c>
      <c r="B529" t="s">
        <v>1187</v>
      </c>
      <c r="C529" t="s">
        <v>557</v>
      </c>
      <c r="D529" t="s">
        <v>1078</v>
      </c>
      <c r="E529" t="s">
        <v>610</v>
      </c>
      <c r="F529">
        <v>1681</v>
      </c>
      <c r="G529">
        <v>0</v>
      </c>
      <c r="H529">
        <v>0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</row>
    <row r="530" spans="1:14">
      <c r="A530" t="s">
        <v>137</v>
      </c>
      <c r="B530" t="s">
        <v>1188</v>
      </c>
      <c r="C530" t="s">
        <v>553</v>
      </c>
      <c r="D530" t="s">
        <v>586</v>
      </c>
      <c r="E530" t="s">
        <v>555</v>
      </c>
      <c r="F530">
        <v>137</v>
      </c>
      <c r="G530">
        <v>0</v>
      </c>
      <c r="H530">
        <v>0</v>
      </c>
      <c r="I530">
        <v>0</v>
      </c>
      <c r="J530">
        <v>1</v>
      </c>
      <c r="K530">
        <v>0</v>
      </c>
      <c r="L530">
        <v>0</v>
      </c>
      <c r="M530">
        <v>0</v>
      </c>
      <c r="N530">
        <v>0</v>
      </c>
    </row>
    <row r="531" spans="1:14">
      <c r="A531" t="s">
        <v>137</v>
      </c>
      <c r="B531" t="s">
        <v>1189</v>
      </c>
      <c r="C531" t="s">
        <v>572</v>
      </c>
      <c r="I531">
        <v>0</v>
      </c>
      <c r="N531">
        <v>0</v>
      </c>
    </row>
    <row r="532" spans="1:14">
      <c r="A532" t="s">
        <v>137</v>
      </c>
      <c r="B532" t="s">
        <v>1190</v>
      </c>
      <c r="C532" t="s">
        <v>553</v>
      </c>
      <c r="I532">
        <v>720</v>
      </c>
      <c r="N532">
        <v>1</v>
      </c>
    </row>
    <row r="533" spans="1:14">
      <c r="A533" t="s">
        <v>137</v>
      </c>
      <c r="B533" t="s">
        <v>1191</v>
      </c>
      <c r="C533" t="s">
        <v>557</v>
      </c>
      <c r="D533" t="s">
        <v>1179</v>
      </c>
      <c r="E533" t="s">
        <v>561</v>
      </c>
      <c r="F533">
        <v>2344</v>
      </c>
      <c r="G533">
        <v>0</v>
      </c>
      <c r="H533">
        <v>0</v>
      </c>
      <c r="I533">
        <v>0</v>
      </c>
      <c r="J533">
        <v>1</v>
      </c>
      <c r="K533">
        <v>0</v>
      </c>
      <c r="L533">
        <v>0</v>
      </c>
      <c r="M533">
        <v>0</v>
      </c>
      <c r="N533">
        <v>0</v>
      </c>
    </row>
    <row r="534" spans="1:14">
      <c r="A534" t="s">
        <v>137</v>
      </c>
      <c r="B534" t="s">
        <v>1192</v>
      </c>
      <c r="C534" t="s">
        <v>572</v>
      </c>
      <c r="I534">
        <v>0</v>
      </c>
      <c r="N534">
        <v>0</v>
      </c>
    </row>
    <row r="535" spans="1:14">
      <c r="A535" t="s">
        <v>137</v>
      </c>
      <c r="B535" t="s">
        <v>1193</v>
      </c>
      <c r="C535" t="s">
        <v>557</v>
      </c>
      <c r="D535" t="s">
        <v>717</v>
      </c>
      <c r="E535" t="s">
        <v>566</v>
      </c>
      <c r="F535">
        <v>1011</v>
      </c>
      <c r="G535">
        <v>2</v>
      </c>
      <c r="H535">
        <v>1</v>
      </c>
      <c r="I535">
        <v>293</v>
      </c>
      <c r="J535">
        <v>1</v>
      </c>
      <c r="K535">
        <v>3</v>
      </c>
      <c r="L535">
        <v>0</v>
      </c>
      <c r="M535">
        <v>0</v>
      </c>
      <c r="N535">
        <v>0</v>
      </c>
    </row>
    <row r="536" spans="1:14">
      <c r="A536" t="s">
        <v>137</v>
      </c>
      <c r="B536" t="s">
        <v>1194</v>
      </c>
      <c r="C536" t="s">
        <v>557</v>
      </c>
      <c r="D536" t="s">
        <v>1195</v>
      </c>
      <c r="E536" t="s">
        <v>610</v>
      </c>
      <c r="F536">
        <v>2157</v>
      </c>
      <c r="G536">
        <v>2</v>
      </c>
      <c r="H536">
        <v>6</v>
      </c>
      <c r="I536">
        <v>172</v>
      </c>
      <c r="J536">
        <v>1</v>
      </c>
      <c r="K536">
        <v>8</v>
      </c>
      <c r="L536">
        <v>0</v>
      </c>
      <c r="M536">
        <v>0</v>
      </c>
      <c r="N536">
        <v>0</v>
      </c>
    </row>
    <row r="537" spans="1:14">
      <c r="A537" t="s">
        <v>137</v>
      </c>
      <c r="B537" t="s">
        <v>1196</v>
      </c>
      <c r="C537" t="s">
        <v>557</v>
      </c>
      <c r="D537" t="s">
        <v>613</v>
      </c>
      <c r="E537" t="s">
        <v>561</v>
      </c>
      <c r="F537">
        <v>35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</row>
    <row r="538" spans="1:14">
      <c r="A538" t="s">
        <v>137</v>
      </c>
      <c r="B538" t="s">
        <v>1197</v>
      </c>
      <c r="C538" t="s">
        <v>575</v>
      </c>
      <c r="I538">
        <v>0</v>
      </c>
      <c r="N538">
        <v>0</v>
      </c>
    </row>
    <row r="539" spans="1:14">
      <c r="A539" t="s">
        <v>137</v>
      </c>
      <c r="B539" t="s">
        <v>1198</v>
      </c>
      <c r="C539" t="s">
        <v>553</v>
      </c>
      <c r="D539" t="s">
        <v>936</v>
      </c>
      <c r="E539" t="s">
        <v>561</v>
      </c>
      <c r="F539">
        <v>1186</v>
      </c>
      <c r="G539">
        <v>0</v>
      </c>
      <c r="H539">
        <v>1</v>
      </c>
      <c r="I539">
        <v>0</v>
      </c>
      <c r="J539">
        <v>1</v>
      </c>
      <c r="K539">
        <v>1</v>
      </c>
      <c r="L539">
        <v>0</v>
      </c>
      <c r="M539">
        <v>0</v>
      </c>
      <c r="N539">
        <v>0</v>
      </c>
    </row>
    <row r="540" spans="1:14">
      <c r="A540" t="s">
        <v>137</v>
      </c>
      <c r="B540" t="s">
        <v>1199</v>
      </c>
      <c r="C540" t="s">
        <v>575</v>
      </c>
      <c r="I540">
        <v>0</v>
      </c>
      <c r="N540">
        <v>0</v>
      </c>
    </row>
    <row r="541" spans="1:14">
      <c r="A541" t="s">
        <v>137</v>
      </c>
      <c r="B541" t="s">
        <v>1200</v>
      </c>
      <c r="C541" t="s">
        <v>553</v>
      </c>
      <c r="D541" t="s">
        <v>579</v>
      </c>
      <c r="E541" t="s">
        <v>561</v>
      </c>
      <c r="F541">
        <v>2425</v>
      </c>
      <c r="G541">
        <v>1</v>
      </c>
      <c r="H541">
        <v>0</v>
      </c>
      <c r="I541">
        <v>0</v>
      </c>
      <c r="J541">
        <v>1</v>
      </c>
      <c r="K541">
        <v>1</v>
      </c>
      <c r="L541">
        <v>0</v>
      </c>
      <c r="M541">
        <v>0</v>
      </c>
      <c r="N541">
        <v>0</v>
      </c>
    </row>
    <row r="542" spans="1:14">
      <c r="A542" t="s">
        <v>137</v>
      </c>
      <c r="B542" t="s">
        <v>1201</v>
      </c>
      <c r="C542" t="s">
        <v>575</v>
      </c>
      <c r="I542">
        <v>0</v>
      </c>
      <c r="N542">
        <v>0</v>
      </c>
    </row>
    <row r="543" spans="1:14">
      <c r="A543" t="s">
        <v>137</v>
      </c>
      <c r="B543" t="s">
        <v>1202</v>
      </c>
      <c r="C543" t="s">
        <v>553</v>
      </c>
      <c r="I543">
        <v>0</v>
      </c>
      <c r="N543">
        <v>0</v>
      </c>
    </row>
    <row r="544" spans="1:14">
      <c r="A544" t="s">
        <v>137</v>
      </c>
      <c r="B544" t="s">
        <v>1203</v>
      </c>
      <c r="C544" t="s">
        <v>572</v>
      </c>
      <c r="I544">
        <v>0</v>
      </c>
      <c r="N544">
        <v>0</v>
      </c>
    </row>
    <row r="545" spans="1:14">
      <c r="A545" t="s">
        <v>137</v>
      </c>
      <c r="B545" t="s">
        <v>1204</v>
      </c>
      <c r="C545" t="s">
        <v>575</v>
      </c>
      <c r="I545">
        <v>0</v>
      </c>
      <c r="N545">
        <v>0</v>
      </c>
    </row>
    <row r="546" spans="1:14">
      <c r="A546" t="s">
        <v>137</v>
      </c>
      <c r="B546" t="s">
        <v>1205</v>
      </c>
      <c r="C546" t="s">
        <v>557</v>
      </c>
      <c r="I546">
        <v>0</v>
      </c>
      <c r="N546">
        <v>0</v>
      </c>
    </row>
    <row r="547" spans="1:14">
      <c r="A547" t="s">
        <v>137</v>
      </c>
      <c r="B547" t="s">
        <v>1206</v>
      </c>
      <c r="C547" t="s">
        <v>553</v>
      </c>
      <c r="D547" t="s">
        <v>1207</v>
      </c>
      <c r="E547" t="s">
        <v>610</v>
      </c>
      <c r="F547">
        <v>79</v>
      </c>
      <c r="G547">
        <v>0</v>
      </c>
      <c r="H547">
        <v>0</v>
      </c>
      <c r="I547">
        <v>0</v>
      </c>
      <c r="J547">
        <v>1</v>
      </c>
      <c r="K547">
        <v>0</v>
      </c>
      <c r="L547">
        <v>0</v>
      </c>
      <c r="M547">
        <v>0</v>
      </c>
      <c r="N547">
        <v>0</v>
      </c>
    </row>
    <row r="548" spans="1:14">
      <c r="A548" t="s">
        <v>122</v>
      </c>
      <c r="B548" t="s">
        <v>1208</v>
      </c>
      <c r="C548" t="s">
        <v>553</v>
      </c>
      <c r="I548">
        <v>0</v>
      </c>
      <c r="N548">
        <v>0</v>
      </c>
    </row>
    <row r="549" spans="1:14">
      <c r="A549" t="s">
        <v>122</v>
      </c>
      <c r="B549" t="s">
        <v>1209</v>
      </c>
      <c r="C549" t="s">
        <v>553</v>
      </c>
      <c r="I549">
        <v>0</v>
      </c>
      <c r="N549">
        <v>0</v>
      </c>
    </row>
    <row r="550" spans="1:14">
      <c r="A550" t="s">
        <v>122</v>
      </c>
      <c r="B550" t="s">
        <v>1210</v>
      </c>
      <c r="C550" t="s">
        <v>553</v>
      </c>
      <c r="I550">
        <v>0</v>
      </c>
      <c r="N550">
        <v>0</v>
      </c>
    </row>
    <row r="551" spans="1:14">
      <c r="A551" t="s">
        <v>122</v>
      </c>
      <c r="B551" t="s">
        <v>1211</v>
      </c>
      <c r="C551" t="s">
        <v>572</v>
      </c>
      <c r="I551">
        <v>0</v>
      </c>
      <c r="N551">
        <v>0</v>
      </c>
    </row>
    <row r="552" spans="1:14">
      <c r="A552" t="s">
        <v>122</v>
      </c>
      <c r="B552" t="s">
        <v>1212</v>
      </c>
      <c r="C552" t="s">
        <v>557</v>
      </c>
      <c r="D552" t="s">
        <v>691</v>
      </c>
      <c r="E552" t="s">
        <v>570</v>
      </c>
      <c r="F552">
        <v>1248</v>
      </c>
      <c r="G552">
        <v>1</v>
      </c>
      <c r="H552">
        <v>1</v>
      </c>
      <c r="I552">
        <v>0</v>
      </c>
      <c r="J552">
        <v>1</v>
      </c>
      <c r="K552">
        <v>2</v>
      </c>
      <c r="L552">
        <v>0</v>
      </c>
      <c r="M552">
        <v>0</v>
      </c>
      <c r="N552">
        <v>0</v>
      </c>
    </row>
    <row r="553" spans="1:14">
      <c r="A553" t="s">
        <v>122</v>
      </c>
      <c r="B553" t="s">
        <v>1213</v>
      </c>
      <c r="C553" t="s">
        <v>557</v>
      </c>
      <c r="I553">
        <v>0</v>
      </c>
      <c r="N553">
        <v>0</v>
      </c>
    </row>
    <row r="554" spans="1:14">
      <c r="A554" t="s">
        <v>122</v>
      </c>
      <c r="B554" t="s">
        <v>1214</v>
      </c>
      <c r="C554" t="s">
        <v>557</v>
      </c>
      <c r="I554">
        <v>0</v>
      </c>
      <c r="N554">
        <v>0</v>
      </c>
    </row>
    <row r="555" spans="1:14">
      <c r="A555" t="s">
        <v>122</v>
      </c>
      <c r="B555" t="s">
        <v>1215</v>
      </c>
      <c r="C555" t="s">
        <v>575</v>
      </c>
      <c r="D555" t="s">
        <v>900</v>
      </c>
      <c r="E555" t="s">
        <v>570</v>
      </c>
      <c r="F555">
        <v>1165</v>
      </c>
      <c r="G555">
        <v>6</v>
      </c>
      <c r="H555">
        <v>0</v>
      </c>
      <c r="I555">
        <v>0</v>
      </c>
      <c r="J555">
        <v>1</v>
      </c>
      <c r="K555">
        <v>6</v>
      </c>
      <c r="L555">
        <v>1</v>
      </c>
      <c r="M555">
        <v>0.46350000000000002</v>
      </c>
      <c r="N555">
        <v>0</v>
      </c>
    </row>
    <row r="556" spans="1:14">
      <c r="A556" t="s">
        <v>122</v>
      </c>
      <c r="B556" t="s">
        <v>1216</v>
      </c>
      <c r="C556" t="s">
        <v>557</v>
      </c>
      <c r="D556" t="s">
        <v>1179</v>
      </c>
      <c r="E556" t="s">
        <v>561</v>
      </c>
      <c r="F556">
        <v>1522</v>
      </c>
      <c r="G556">
        <v>1</v>
      </c>
      <c r="H556">
        <v>0</v>
      </c>
      <c r="I556">
        <v>0</v>
      </c>
      <c r="J556">
        <v>1</v>
      </c>
      <c r="K556">
        <v>1</v>
      </c>
      <c r="L556">
        <v>0</v>
      </c>
      <c r="M556">
        <v>0</v>
      </c>
      <c r="N556">
        <v>0</v>
      </c>
    </row>
    <row r="557" spans="1:14">
      <c r="A557" t="s">
        <v>122</v>
      </c>
      <c r="B557" t="s">
        <v>1217</v>
      </c>
      <c r="C557" t="s">
        <v>553</v>
      </c>
      <c r="I557">
        <v>0</v>
      </c>
      <c r="N557">
        <v>0</v>
      </c>
    </row>
    <row r="558" spans="1:14">
      <c r="A558" t="s">
        <v>122</v>
      </c>
      <c r="B558" t="s">
        <v>1218</v>
      </c>
      <c r="C558" t="s">
        <v>557</v>
      </c>
      <c r="D558" t="s">
        <v>1219</v>
      </c>
      <c r="E558" t="s">
        <v>561</v>
      </c>
      <c r="F558">
        <v>2040</v>
      </c>
      <c r="G558">
        <v>0</v>
      </c>
      <c r="H558">
        <v>3</v>
      </c>
      <c r="I558">
        <v>0</v>
      </c>
      <c r="J558">
        <v>1</v>
      </c>
      <c r="K558">
        <v>3</v>
      </c>
      <c r="L558">
        <v>0</v>
      </c>
      <c r="M558">
        <v>0</v>
      </c>
      <c r="N558">
        <v>0</v>
      </c>
    </row>
    <row r="559" spans="1:14">
      <c r="A559" t="s">
        <v>122</v>
      </c>
      <c r="B559" t="s">
        <v>1220</v>
      </c>
      <c r="C559" t="s">
        <v>575</v>
      </c>
      <c r="I559">
        <v>0</v>
      </c>
      <c r="N559">
        <v>0</v>
      </c>
    </row>
    <row r="560" spans="1:14">
      <c r="A560" t="s">
        <v>122</v>
      </c>
      <c r="B560" t="s">
        <v>1221</v>
      </c>
      <c r="C560" t="s">
        <v>575</v>
      </c>
      <c r="I560">
        <v>0</v>
      </c>
      <c r="N560">
        <v>0</v>
      </c>
    </row>
    <row r="561" spans="1:14">
      <c r="A561" t="s">
        <v>122</v>
      </c>
      <c r="B561" t="s">
        <v>1222</v>
      </c>
      <c r="C561" t="s">
        <v>557</v>
      </c>
      <c r="I561">
        <v>0</v>
      </c>
      <c r="N561">
        <v>0</v>
      </c>
    </row>
    <row r="562" spans="1:14">
      <c r="A562" t="s">
        <v>122</v>
      </c>
      <c r="B562" t="s">
        <v>1223</v>
      </c>
      <c r="C562" t="s">
        <v>557</v>
      </c>
      <c r="I562">
        <v>0</v>
      </c>
      <c r="N562">
        <v>0</v>
      </c>
    </row>
    <row r="563" spans="1:14">
      <c r="A563" t="s">
        <v>122</v>
      </c>
      <c r="B563" t="s">
        <v>1224</v>
      </c>
      <c r="C563" t="s">
        <v>575</v>
      </c>
      <c r="I563">
        <v>0</v>
      </c>
      <c r="N563">
        <v>0</v>
      </c>
    </row>
    <row r="564" spans="1:14">
      <c r="A564" t="s">
        <v>122</v>
      </c>
      <c r="B564" t="s">
        <v>1225</v>
      </c>
      <c r="C564" t="s">
        <v>575</v>
      </c>
      <c r="I564">
        <v>0</v>
      </c>
      <c r="N564">
        <v>0</v>
      </c>
    </row>
    <row r="565" spans="1:14">
      <c r="A565" t="s">
        <v>122</v>
      </c>
      <c r="B565" t="s">
        <v>1226</v>
      </c>
      <c r="C565" t="s">
        <v>575</v>
      </c>
      <c r="I565">
        <v>0</v>
      </c>
      <c r="N565">
        <v>0</v>
      </c>
    </row>
    <row r="566" spans="1:14">
      <c r="A566" t="s">
        <v>122</v>
      </c>
      <c r="B566" t="s">
        <v>1227</v>
      </c>
      <c r="C566" t="s">
        <v>572</v>
      </c>
      <c r="I566">
        <v>0</v>
      </c>
      <c r="N566">
        <v>0</v>
      </c>
    </row>
    <row r="567" spans="1:14">
      <c r="A567" t="s">
        <v>122</v>
      </c>
      <c r="B567" t="s">
        <v>1228</v>
      </c>
      <c r="C567" t="s">
        <v>557</v>
      </c>
      <c r="I567">
        <v>0</v>
      </c>
      <c r="N567">
        <v>0</v>
      </c>
    </row>
    <row r="568" spans="1:14">
      <c r="A568" t="s">
        <v>122</v>
      </c>
      <c r="B568" t="s">
        <v>1229</v>
      </c>
      <c r="C568" t="s">
        <v>553</v>
      </c>
      <c r="I568">
        <v>0</v>
      </c>
      <c r="N568">
        <v>0</v>
      </c>
    </row>
    <row r="569" spans="1:14">
      <c r="A569" t="s">
        <v>122</v>
      </c>
      <c r="B569" t="s">
        <v>1230</v>
      </c>
      <c r="C569" t="s">
        <v>553</v>
      </c>
      <c r="I569">
        <v>0</v>
      </c>
      <c r="N569">
        <v>0</v>
      </c>
    </row>
    <row r="570" spans="1:14">
      <c r="A570" t="s">
        <v>122</v>
      </c>
      <c r="B570" t="s">
        <v>1231</v>
      </c>
      <c r="C570" t="s">
        <v>553</v>
      </c>
      <c r="I570">
        <v>0</v>
      </c>
      <c r="N570">
        <v>0</v>
      </c>
    </row>
    <row r="571" spans="1:14">
      <c r="A571" t="s">
        <v>122</v>
      </c>
      <c r="B571" t="s">
        <v>1232</v>
      </c>
      <c r="C571" t="s">
        <v>572</v>
      </c>
      <c r="I571">
        <v>0</v>
      </c>
      <c r="N571">
        <v>0</v>
      </c>
    </row>
    <row r="572" spans="1:14">
      <c r="A572" t="s">
        <v>122</v>
      </c>
      <c r="B572" t="s">
        <v>1233</v>
      </c>
      <c r="C572" t="s">
        <v>557</v>
      </c>
      <c r="I572">
        <v>0</v>
      </c>
      <c r="N572">
        <v>0</v>
      </c>
    </row>
    <row r="573" spans="1:14">
      <c r="A573" t="s">
        <v>122</v>
      </c>
      <c r="B573" t="s">
        <v>1234</v>
      </c>
      <c r="C573" t="s">
        <v>553</v>
      </c>
      <c r="I573">
        <v>0</v>
      </c>
      <c r="N573">
        <v>0</v>
      </c>
    </row>
    <row r="574" spans="1:14">
      <c r="A574" t="s">
        <v>130</v>
      </c>
      <c r="B574" t="s">
        <v>1235</v>
      </c>
      <c r="C574" t="s">
        <v>572</v>
      </c>
      <c r="I574">
        <v>0</v>
      </c>
      <c r="N574">
        <v>0</v>
      </c>
    </row>
    <row r="575" spans="1:14">
      <c r="A575" t="s">
        <v>130</v>
      </c>
      <c r="B575" t="s">
        <v>1236</v>
      </c>
      <c r="C575" t="s">
        <v>553</v>
      </c>
      <c r="I575">
        <v>0</v>
      </c>
      <c r="N575">
        <v>0</v>
      </c>
    </row>
    <row r="576" spans="1:14">
      <c r="A576" t="s">
        <v>130</v>
      </c>
      <c r="B576" t="s">
        <v>1237</v>
      </c>
      <c r="C576" t="s">
        <v>553</v>
      </c>
      <c r="I576">
        <v>0</v>
      </c>
      <c r="N576">
        <v>0</v>
      </c>
    </row>
    <row r="577" spans="1:14">
      <c r="A577" t="s">
        <v>130</v>
      </c>
      <c r="B577" t="s">
        <v>1238</v>
      </c>
      <c r="C577" t="s">
        <v>553</v>
      </c>
      <c r="I577">
        <v>0</v>
      </c>
      <c r="N577">
        <v>0</v>
      </c>
    </row>
    <row r="578" spans="1:14">
      <c r="A578" t="s">
        <v>130</v>
      </c>
      <c r="B578" t="s">
        <v>1239</v>
      </c>
      <c r="C578" t="s">
        <v>557</v>
      </c>
      <c r="I578">
        <v>0</v>
      </c>
      <c r="N578">
        <v>0</v>
      </c>
    </row>
    <row r="579" spans="1:14">
      <c r="A579" t="s">
        <v>130</v>
      </c>
      <c r="B579" t="s">
        <v>1240</v>
      </c>
      <c r="C579" t="s">
        <v>575</v>
      </c>
      <c r="I579">
        <v>487</v>
      </c>
      <c r="N579">
        <v>0</v>
      </c>
    </row>
    <row r="580" spans="1:14">
      <c r="A580" t="s">
        <v>130</v>
      </c>
      <c r="B580" t="s">
        <v>1241</v>
      </c>
      <c r="C580" t="s">
        <v>557</v>
      </c>
      <c r="I580">
        <v>0</v>
      </c>
      <c r="N580">
        <v>0</v>
      </c>
    </row>
    <row r="581" spans="1:14">
      <c r="A581" t="s">
        <v>130</v>
      </c>
      <c r="B581" t="s">
        <v>1242</v>
      </c>
      <c r="C581" t="s">
        <v>557</v>
      </c>
      <c r="I581">
        <v>0</v>
      </c>
      <c r="N581">
        <v>0</v>
      </c>
    </row>
    <row r="582" spans="1:14">
      <c r="A582" t="s">
        <v>130</v>
      </c>
      <c r="B582" t="s">
        <v>1243</v>
      </c>
      <c r="C582" t="s">
        <v>553</v>
      </c>
      <c r="I582">
        <v>0</v>
      </c>
      <c r="N582">
        <v>0</v>
      </c>
    </row>
    <row r="583" spans="1:14">
      <c r="A583" t="s">
        <v>130</v>
      </c>
      <c r="B583" t="s">
        <v>1244</v>
      </c>
      <c r="C583" t="s">
        <v>553</v>
      </c>
      <c r="I583">
        <v>0</v>
      </c>
      <c r="N583">
        <v>0</v>
      </c>
    </row>
    <row r="584" spans="1:14">
      <c r="A584" t="s">
        <v>130</v>
      </c>
      <c r="B584" t="s">
        <v>1245</v>
      </c>
      <c r="C584" t="s">
        <v>553</v>
      </c>
      <c r="I584">
        <v>0</v>
      </c>
      <c r="N584">
        <v>0</v>
      </c>
    </row>
    <row r="585" spans="1:14">
      <c r="A585" t="s">
        <v>130</v>
      </c>
      <c r="B585" t="s">
        <v>1246</v>
      </c>
      <c r="C585" t="s">
        <v>557</v>
      </c>
      <c r="I585">
        <v>0</v>
      </c>
      <c r="N585">
        <v>0</v>
      </c>
    </row>
    <row r="586" spans="1:14">
      <c r="A586" t="s">
        <v>130</v>
      </c>
      <c r="B586" t="s">
        <v>1247</v>
      </c>
      <c r="C586" t="s">
        <v>553</v>
      </c>
      <c r="I586">
        <v>0</v>
      </c>
      <c r="N586">
        <v>0</v>
      </c>
    </row>
    <row r="587" spans="1:14">
      <c r="A587" t="s">
        <v>130</v>
      </c>
      <c r="B587" t="s">
        <v>1248</v>
      </c>
      <c r="C587" t="s">
        <v>575</v>
      </c>
      <c r="I587">
        <v>0</v>
      </c>
      <c r="N587">
        <v>0</v>
      </c>
    </row>
    <row r="588" spans="1:14">
      <c r="A588" t="s">
        <v>130</v>
      </c>
      <c r="B588" t="s">
        <v>1249</v>
      </c>
      <c r="C588" t="s">
        <v>557</v>
      </c>
      <c r="I588">
        <v>0</v>
      </c>
      <c r="N588">
        <v>0</v>
      </c>
    </row>
    <row r="589" spans="1:14">
      <c r="A589" t="s">
        <v>130</v>
      </c>
      <c r="B589" t="s">
        <v>1250</v>
      </c>
      <c r="C589" t="s">
        <v>575</v>
      </c>
      <c r="I589">
        <v>0</v>
      </c>
      <c r="N589">
        <v>0</v>
      </c>
    </row>
    <row r="590" spans="1:14">
      <c r="A590" t="s">
        <v>130</v>
      </c>
      <c r="B590" t="s">
        <v>1251</v>
      </c>
      <c r="C590" t="s">
        <v>575</v>
      </c>
      <c r="I590">
        <v>0</v>
      </c>
      <c r="N590">
        <v>0</v>
      </c>
    </row>
    <row r="591" spans="1:14">
      <c r="A591" t="s">
        <v>130</v>
      </c>
      <c r="B591" t="s">
        <v>1252</v>
      </c>
      <c r="C591" t="s">
        <v>575</v>
      </c>
      <c r="I591">
        <v>0</v>
      </c>
      <c r="N591">
        <v>0</v>
      </c>
    </row>
    <row r="592" spans="1:14">
      <c r="A592" t="s">
        <v>130</v>
      </c>
      <c r="B592" t="s">
        <v>1253</v>
      </c>
      <c r="C592" t="s">
        <v>557</v>
      </c>
      <c r="I592">
        <v>0</v>
      </c>
      <c r="N592">
        <v>0</v>
      </c>
    </row>
    <row r="593" spans="1:14">
      <c r="A593" t="s">
        <v>130</v>
      </c>
      <c r="B593" t="s">
        <v>1254</v>
      </c>
      <c r="C593" t="s">
        <v>575</v>
      </c>
      <c r="I593">
        <v>0</v>
      </c>
      <c r="N593">
        <v>0</v>
      </c>
    </row>
    <row r="594" spans="1:14">
      <c r="A594" t="s">
        <v>130</v>
      </c>
      <c r="B594" t="s">
        <v>1255</v>
      </c>
      <c r="C594" t="s">
        <v>553</v>
      </c>
      <c r="I594">
        <v>0</v>
      </c>
      <c r="N594">
        <v>0</v>
      </c>
    </row>
    <row r="595" spans="1:14">
      <c r="A595" t="s">
        <v>130</v>
      </c>
      <c r="B595" t="s">
        <v>1256</v>
      </c>
      <c r="C595" t="s">
        <v>575</v>
      </c>
      <c r="I595">
        <v>0</v>
      </c>
      <c r="N595">
        <v>0</v>
      </c>
    </row>
    <row r="596" spans="1:14">
      <c r="A596" t="s">
        <v>130</v>
      </c>
      <c r="B596" t="s">
        <v>1257</v>
      </c>
      <c r="C596" t="s">
        <v>553</v>
      </c>
      <c r="I596">
        <v>0</v>
      </c>
      <c r="N596">
        <v>0</v>
      </c>
    </row>
    <row r="597" spans="1:14">
      <c r="A597" t="s">
        <v>130</v>
      </c>
      <c r="B597" t="s">
        <v>1258</v>
      </c>
      <c r="C597" t="s">
        <v>572</v>
      </c>
      <c r="I597">
        <v>0</v>
      </c>
      <c r="N597">
        <v>0</v>
      </c>
    </row>
    <row r="598" spans="1:14">
      <c r="A598" t="s">
        <v>130</v>
      </c>
      <c r="B598" t="s">
        <v>1259</v>
      </c>
      <c r="C598" t="s">
        <v>572</v>
      </c>
      <c r="I598">
        <v>0</v>
      </c>
      <c r="N598">
        <v>0</v>
      </c>
    </row>
    <row r="599" spans="1:14">
      <c r="A599" t="s">
        <v>130</v>
      </c>
      <c r="B599" t="s">
        <v>1260</v>
      </c>
      <c r="C599" t="s">
        <v>557</v>
      </c>
      <c r="I599">
        <v>0</v>
      </c>
      <c r="N599">
        <v>0</v>
      </c>
    </row>
    <row r="600" spans="1:14">
      <c r="A600" t="s">
        <v>132</v>
      </c>
      <c r="B600" t="s">
        <v>1261</v>
      </c>
      <c r="C600" t="s">
        <v>553</v>
      </c>
      <c r="I600">
        <v>0</v>
      </c>
      <c r="N600">
        <v>0</v>
      </c>
    </row>
    <row r="601" spans="1:14">
      <c r="A601" t="s">
        <v>132</v>
      </c>
      <c r="B601" t="s">
        <v>1262</v>
      </c>
      <c r="C601" t="s">
        <v>553</v>
      </c>
      <c r="I601">
        <v>0</v>
      </c>
      <c r="N601">
        <v>0</v>
      </c>
    </row>
    <row r="602" spans="1:14">
      <c r="A602" t="s">
        <v>132</v>
      </c>
      <c r="B602" t="s">
        <v>1263</v>
      </c>
      <c r="C602" t="s">
        <v>557</v>
      </c>
      <c r="I602">
        <v>0</v>
      </c>
      <c r="N602">
        <v>0</v>
      </c>
    </row>
    <row r="603" spans="1:14">
      <c r="A603" t="s">
        <v>132</v>
      </c>
      <c r="B603" t="s">
        <v>1264</v>
      </c>
      <c r="C603" t="s">
        <v>557</v>
      </c>
      <c r="I603">
        <v>0</v>
      </c>
      <c r="N603">
        <v>0</v>
      </c>
    </row>
    <row r="604" spans="1:14">
      <c r="A604" t="s">
        <v>132</v>
      </c>
      <c r="B604" t="s">
        <v>1265</v>
      </c>
      <c r="C604" t="s">
        <v>557</v>
      </c>
      <c r="I604">
        <v>0</v>
      </c>
      <c r="N604">
        <v>0</v>
      </c>
    </row>
    <row r="605" spans="1:14">
      <c r="A605" t="s">
        <v>132</v>
      </c>
      <c r="B605" t="s">
        <v>1266</v>
      </c>
      <c r="C605" t="s">
        <v>575</v>
      </c>
      <c r="I605">
        <v>0</v>
      </c>
      <c r="N605">
        <v>0</v>
      </c>
    </row>
    <row r="606" spans="1:14">
      <c r="A606" t="s">
        <v>132</v>
      </c>
      <c r="B606" t="s">
        <v>1267</v>
      </c>
      <c r="C606" t="s">
        <v>553</v>
      </c>
      <c r="I606">
        <v>0</v>
      </c>
      <c r="N606">
        <v>0</v>
      </c>
    </row>
    <row r="607" spans="1:14">
      <c r="A607" t="s">
        <v>132</v>
      </c>
      <c r="B607" t="s">
        <v>1268</v>
      </c>
      <c r="C607" t="s">
        <v>553</v>
      </c>
      <c r="I607">
        <v>0</v>
      </c>
      <c r="N607">
        <v>0</v>
      </c>
    </row>
    <row r="608" spans="1:14">
      <c r="A608" t="s">
        <v>132</v>
      </c>
      <c r="B608" t="s">
        <v>1269</v>
      </c>
      <c r="C608" t="s">
        <v>572</v>
      </c>
      <c r="I608">
        <v>0</v>
      </c>
      <c r="N608">
        <v>0</v>
      </c>
    </row>
    <row r="609" spans="1:14">
      <c r="A609" t="s">
        <v>132</v>
      </c>
      <c r="B609" t="s">
        <v>1270</v>
      </c>
      <c r="C609" t="s">
        <v>557</v>
      </c>
      <c r="I609">
        <v>0</v>
      </c>
      <c r="N609">
        <v>0</v>
      </c>
    </row>
    <row r="610" spans="1:14">
      <c r="A610" t="s">
        <v>132</v>
      </c>
      <c r="B610" t="s">
        <v>1271</v>
      </c>
      <c r="C610" t="s">
        <v>557</v>
      </c>
      <c r="I610">
        <v>0</v>
      </c>
      <c r="N610">
        <v>0</v>
      </c>
    </row>
    <row r="611" spans="1:14">
      <c r="A611" t="s">
        <v>132</v>
      </c>
      <c r="B611" t="s">
        <v>1272</v>
      </c>
      <c r="C611" t="s">
        <v>557</v>
      </c>
      <c r="I611">
        <v>0</v>
      </c>
      <c r="N611">
        <v>0</v>
      </c>
    </row>
    <row r="612" spans="1:14">
      <c r="A612" t="s">
        <v>132</v>
      </c>
      <c r="B612" t="s">
        <v>1273</v>
      </c>
      <c r="C612" t="s">
        <v>575</v>
      </c>
      <c r="I612">
        <v>0</v>
      </c>
      <c r="N612">
        <v>0</v>
      </c>
    </row>
    <row r="613" spans="1:14">
      <c r="A613" t="s">
        <v>132</v>
      </c>
      <c r="B613" t="s">
        <v>1274</v>
      </c>
      <c r="C613" t="s">
        <v>572</v>
      </c>
      <c r="I613">
        <v>0</v>
      </c>
      <c r="N613">
        <v>0</v>
      </c>
    </row>
    <row r="614" spans="1:14">
      <c r="A614" t="s">
        <v>132</v>
      </c>
      <c r="B614" t="s">
        <v>1275</v>
      </c>
      <c r="C614" t="s">
        <v>553</v>
      </c>
      <c r="I614">
        <v>0</v>
      </c>
      <c r="N614">
        <v>0</v>
      </c>
    </row>
    <row r="615" spans="1:14">
      <c r="A615" t="s">
        <v>132</v>
      </c>
      <c r="B615" t="s">
        <v>1276</v>
      </c>
      <c r="C615" t="s">
        <v>553</v>
      </c>
      <c r="I615">
        <v>0</v>
      </c>
      <c r="N615">
        <v>0</v>
      </c>
    </row>
    <row r="616" spans="1:14">
      <c r="A616" t="s">
        <v>132</v>
      </c>
      <c r="B616" t="s">
        <v>1277</v>
      </c>
      <c r="C616" t="s">
        <v>553</v>
      </c>
      <c r="I616">
        <v>0</v>
      </c>
      <c r="N616">
        <v>0</v>
      </c>
    </row>
    <row r="617" spans="1:14">
      <c r="A617" t="s">
        <v>132</v>
      </c>
      <c r="B617" t="s">
        <v>1278</v>
      </c>
      <c r="C617" t="s">
        <v>557</v>
      </c>
      <c r="I617">
        <v>0</v>
      </c>
      <c r="N617">
        <v>0</v>
      </c>
    </row>
    <row r="618" spans="1:14">
      <c r="A618" t="s">
        <v>132</v>
      </c>
      <c r="B618" t="s">
        <v>1279</v>
      </c>
      <c r="C618" t="s">
        <v>553</v>
      </c>
      <c r="I618">
        <v>0</v>
      </c>
      <c r="N618">
        <v>0</v>
      </c>
    </row>
    <row r="619" spans="1:14">
      <c r="A619" t="s">
        <v>132</v>
      </c>
      <c r="B619" t="s">
        <v>1280</v>
      </c>
      <c r="C619" t="s">
        <v>575</v>
      </c>
      <c r="I619">
        <v>0</v>
      </c>
      <c r="N619">
        <v>0</v>
      </c>
    </row>
    <row r="620" spans="1:14">
      <c r="A620" t="s">
        <v>132</v>
      </c>
      <c r="B620" t="s">
        <v>1281</v>
      </c>
      <c r="C620" t="s">
        <v>557</v>
      </c>
      <c r="I620">
        <v>0</v>
      </c>
      <c r="N620">
        <v>0</v>
      </c>
    </row>
    <row r="621" spans="1:14">
      <c r="A621" t="s">
        <v>132</v>
      </c>
      <c r="B621" t="s">
        <v>1282</v>
      </c>
      <c r="C621" t="s">
        <v>557</v>
      </c>
      <c r="I621">
        <v>0</v>
      </c>
      <c r="N621">
        <v>0</v>
      </c>
    </row>
    <row r="622" spans="1:14">
      <c r="A622" t="s">
        <v>132</v>
      </c>
      <c r="B622" t="s">
        <v>1283</v>
      </c>
      <c r="C622" t="s">
        <v>557</v>
      </c>
      <c r="I622">
        <v>0</v>
      </c>
      <c r="N622">
        <v>0</v>
      </c>
    </row>
    <row r="623" spans="1:14">
      <c r="A623" t="s">
        <v>132</v>
      </c>
      <c r="B623" t="s">
        <v>1284</v>
      </c>
      <c r="C623" t="s">
        <v>553</v>
      </c>
      <c r="I623">
        <v>0</v>
      </c>
      <c r="N623">
        <v>0</v>
      </c>
    </row>
    <row r="624" spans="1:14">
      <c r="A624" t="s">
        <v>132</v>
      </c>
      <c r="B624" t="s">
        <v>1285</v>
      </c>
      <c r="C624" t="s">
        <v>575</v>
      </c>
      <c r="I624">
        <v>0</v>
      </c>
      <c r="N624">
        <v>0</v>
      </c>
    </row>
    <row r="625" spans="1:14">
      <c r="A625" t="s">
        <v>132</v>
      </c>
      <c r="B625" t="s">
        <v>1286</v>
      </c>
      <c r="C625" t="s">
        <v>572</v>
      </c>
      <c r="I625">
        <v>0</v>
      </c>
      <c r="N625">
        <v>0</v>
      </c>
    </row>
    <row r="626" spans="1:14">
      <c r="A626" t="s">
        <v>154</v>
      </c>
      <c r="B626" t="s">
        <v>1287</v>
      </c>
      <c r="C626" t="s">
        <v>553</v>
      </c>
      <c r="D626" t="s">
        <v>668</v>
      </c>
      <c r="E626" t="s">
        <v>555</v>
      </c>
      <c r="F626">
        <v>920</v>
      </c>
      <c r="G626">
        <v>1</v>
      </c>
      <c r="H626">
        <v>2</v>
      </c>
      <c r="I626">
        <v>125</v>
      </c>
      <c r="J626">
        <v>1</v>
      </c>
      <c r="K626">
        <v>3</v>
      </c>
      <c r="L626">
        <v>0</v>
      </c>
      <c r="M626">
        <v>0</v>
      </c>
      <c r="N626">
        <v>1</v>
      </c>
    </row>
    <row r="627" spans="1:14">
      <c r="A627" t="s">
        <v>154</v>
      </c>
      <c r="B627" t="s">
        <v>1288</v>
      </c>
      <c r="C627" t="s">
        <v>572</v>
      </c>
      <c r="D627" t="s">
        <v>638</v>
      </c>
      <c r="E627" t="s">
        <v>566</v>
      </c>
      <c r="F627">
        <v>1800</v>
      </c>
      <c r="G627">
        <v>0</v>
      </c>
      <c r="H627">
        <v>0</v>
      </c>
      <c r="I627">
        <v>0</v>
      </c>
      <c r="J627">
        <v>1</v>
      </c>
      <c r="K627">
        <v>0</v>
      </c>
      <c r="L627">
        <v>0</v>
      </c>
      <c r="M627">
        <v>0</v>
      </c>
      <c r="N627">
        <v>0</v>
      </c>
    </row>
    <row r="628" spans="1:14">
      <c r="A628" t="s">
        <v>154</v>
      </c>
      <c r="B628" t="s">
        <v>1289</v>
      </c>
      <c r="C628" t="s">
        <v>557</v>
      </c>
      <c r="D628" t="s">
        <v>862</v>
      </c>
      <c r="E628" t="s">
        <v>570</v>
      </c>
      <c r="F628">
        <v>1902</v>
      </c>
      <c r="G628">
        <v>0</v>
      </c>
      <c r="H628">
        <v>0</v>
      </c>
      <c r="I628">
        <v>0</v>
      </c>
      <c r="J628">
        <v>1</v>
      </c>
      <c r="K628">
        <v>0</v>
      </c>
      <c r="L628">
        <v>0</v>
      </c>
      <c r="M628">
        <v>0</v>
      </c>
      <c r="N628">
        <v>0</v>
      </c>
    </row>
    <row r="629" spans="1:14">
      <c r="A629" t="s">
        <v>154</v>
      </c>
      <c r="B629" t="s">
        <v>1290</v>
      </c>
      <c r="C629" t="s">
        <v>575</v>
      </c>
      <c r="I629">
        <v>0</v>
      </c>
      <c r="N629">
        <v>0</v>
      </c>
    </row>
    <row r="630" spans="1:14">
      <c r="A630" t="s">
        <v>154</v>
      </c>
      <c r="B630" t="s">
        <v>1291</v>
      </c>
      <c r="C630" t="s">
        <v>557</v>
      </c>
      <c r="I630">
        <v>0</v>
      </c>
      <c r="N630">
        <v>0</v>
      </c>
    </row>
    <row r="631" spans="1:14">
      <c r="A631" t="s">
        <v>154</v>
      </c>
      <c r="B631" t="s">
        <v>1292</v>
      </c>
      <c r="C631" t="s">
        <v>557</v>
      </c>
      <c r="D631" t="s">
        <v>558</v>
      </c>
      <c r="E631" t="s">
        <v>555</v>
      </c>
      <c r="F631">
        <v>2364</v>
      </c>
      <c r="G631">
        <v>5</v>
      </c>
      <c r="H631">
        <v>5</v>
      </c>
      <c r="I631">
        <v>474</v>
      </c>
      <c r="J631">
        <v>1</v>
      </c>
      <c r="K631">
        <v>10</v>
      </c>
      <c r="L631">
        <v>0</v>
      </c>
      <c r="M631">
        <v>0</v>
      </c>
      <c r="N631">
        <v>0</v>
      </c>
    </row>
    <row r="632" spans="1:14">
      <c r="A632" t="s">
        <v>154</v>
      </c>
      <c r="B632" t="s">
        <v>1293</v>
      </c>
      <c r="C632" t="s">
        <v>557</v>
      </c>
      <c r="D632" t="s">
        <v>688</v>
      </c>
      <c r="E632" t="s">
        <v>555</v>
      </c>
      <c r="F632">
        <v>3059</v>
      </c>
      <c r="G632">
        <v>1</v>
      </c>
      <c r="H632">
        <v>2</v>
      </c>
      <c r="I632">
        <v>0</v>
      </c>
      <c r="J632">
        <v>1</v>
      </c>
      <c r="K632">
        <v>3</v>
      </c>
      <c r="L632">
        <v>0</v>
      </c>
      <c r="M632">
        <v>0</v>
      </c>
      <c r="N632">
        <v>0</v>
      </c>
    </row>
    <row r="633" spans="1:14">
      <c r="A633" t="s">
        <v>154</v>
      </c>
      <c r="B633" t="s">
        <v>1294</v>
      </c>
      <c r="C633" t="s">
        <v>557</v>
      </c>
      <c r="I633">
        <v>0</v>
      </c>
      <c r="N633">
        <v>0</v>
      </c>
    </row>
    <row r="634" spans="1:14">
      <c r="A634" t="s">
        <v>154</v>
      </c>
      <c r="B634" t="s">
        <v>1295</v>
      </c>
      <c r="C634" t="s">
        <v>553</v>
      </c>
      <c r="I634">
        <v>0</v>
      </c>
      <c r="N634">
        <v>0</v>
      </c>
    </row>
    <row r="635" spans="1:14">
      <c r="A635" t="s">
        <v>154</v>
      </c>
      <c r="B635" t="s">
        <v>1296</v>
      </c>
      <c r="C635" t="s">
        <v>557</v>
      </c>
      <c r="I635">
        <v>0</v>
      </c>
      <c r="N635">
        <v>0</v>
      </c>
    </row>
    <row r="636" spans="1:14">
      <c r="A636" t="s">
        <v>154</v>
      </c>
      <c r="B636" t="s">
        <v>1297</v>
      </c>
      <c r="C636" t="s">
        <v>557</v>
      </c>
      <c r="D636" t="s">
        <v>1298</v>
      </c>
      <c r="E636" t="s">
        <v>570</v>
      </c>
      <c r="F636">
        <v>1315</v>
      </c>
      <c r="G636">
        <v>2</v>
      </c>
      <c r="H636">
        <v>0</v>
      </c>
      <c r="I636">
        <v>0</v>
      </c>
      <c r="J636">
        <v>1</v>
      </c>
      <c r="K636">
        <v>2</v>
      </c>
      <c r="L636">
        <v>0</v>
      </c>
      <c r="M636">
        <v>0</v>
      </c>
      <c r="N636">
        <v>0</v>
      </c>
    </row>
    <row r="637" spans="1:14">
      <c r="A637" t="s">
        <v>154</v>
      </c>
      <c r="B637" t="s">
        <v>1299</v>
      </c>
      <c r="C637" t="s">
        <v>553</v>
      </c>
      <c r="I637">
        <v>0</v>
      </c>
      <c r="N637">
        <v>0</v>
      </c>
    </row>
    <row r="638" spans="1:14">
      <c r="A638" t="s">
        <v>154</v>
      </c>
      <c r="B638" t="s">
        <v>1300</v>
      </c>
      <c r="C638" t="s">
        <v>553</v>
      </c>
      <c r="I638">
        <v>454</v>
      </c>
      <c r="N638">
        <v>1</v>
      </c>
    </row>
    <row r="639" spans="1:14">
      <c r="A639" t="s">
        <v>154</v>
      </c>
      <c r="B639" t="s">
        <v>1301</v>
      </c>
      <c r="C639" t="s">
        <v>557</v>
      </c>
      <c r="D639" t="s">
        <v>679</v>
      </c>
      <c r="E639" t="s">
        <v>555</v>
      </c>
      <c r="F639">
        <v>2428</v>
      </c>
      <c r="G639">
        <v>0</v>
      </c>
      <c r="H639">
        <v>6</v>
      </c>
      <c r="I639">
        <v>0</v>
      </c>
      <c r="J639">
        <v>1</v>
      </c>
      <c r="K639">
        <v>6</v>
      </c>
      <c r="L639">
        <v>0</v>
      </c>
      <c r="M639">
        <v>0</v>
      </c>
      <c r="N639">
        <v>0</v>
      </c>
    </row>
    <row r="640" spans="1:14">
      <c r="A640" t="s">
        <v>154</v>
      </c>
      <c r="B640" t="s">
        <v>1302</v>
      </c>
      <c r="C640" t="s">
        <v>553</v>
      </c>
      <c r="I640">
        <v>0</v>
      </c>
      <c r="N640">
        <v>0</v>
      </c>
    </row>
    <row r="641" spans="1:14">
      <c r="A641" t="s">
        <v>154</v>
      </c>
      <c r="B641" t="s">
        <v>1303</v>
      </c>
      <c r="C641" t="s">
        <v>553</v>
      </c>
      <c r="D641" t="s">
        <v>888</v>
      </c>
      <c r="E641" t="s">
        <v>561</v>
      </c>
      <c r="F641">
        <v>2625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</row>
    <row r="642" spans="1:14">
      <c r="A642" t="s">
        <v>154</v>
      </c>
      <c r="B642" t="s">
        <v>1304</v>
      </c>
      <c r="C642" t="s">
        <v>557</v>
      </c>
      <c r="D642" t="s">
        <v>973</v>
      </c>
      <c r="E642" t="s">
        <v>610</v>
      </c>
      <c r="F642">
        <v>1503</v>
      </c>
      <c r="G642">
        <v>2</v>
      </c>
      <c r="H642">
        <v>4</v>
      </c>
      <c r="I642">
        <v>0</v>
      </c>
      <c r="J642">
        <v>1</v>
      </c>
      <c r="K642">
        <v>6</v>
      </c>
      <c r="L642">
        <v>0</v>
      </c>
      <c r="M642">
        <v>0</v>
      </c>
      <c r="N642">
        <v>0</v>
      </c>
    </row>
    <row r="643" spans="1:14">
      <c r="A643" t="s">
        <v>154</v>
      </c>
      <c r="B643" t="s">
        <v>1305</v>
      </c>
      <c r="C643" t="s">
        <v>553</v>
      </c>
      <c r="I643">
        <v>573</v>
      </c>
      <c r="N643">
        <v>1</v>
      </c>
    </row>
    <row r="644" spans="1:14">
      <c r="A644" t="s">
        <v>154</v>
      </c>
      <c r="B644" t="s">
        <v>1306</v>
      </c>
      <c r="C644" t="s">
        <v>575</v>
      </c>
      <c r="I644">
        <v>0</v>
      </c>
      <c r="N644">
        <v>0</v>
      </c>
    </row>
    <row r="645" spans="1:14">
      <c r="A645" t="s">
        <v>154</v>
      </c>
      <c r="B645" t="s">
        <v>1307</v>
      </c>
      <c r="C645" t="s">
        <v>553</v>
      </c>
      <c r="I645">
        <v>0</v>
      </c>
      <c r="N645">
        <v>0</v>
      </c>
    </row>
    <row r="646" spans="1:14">
      <c r="A646" t="s">
        <v>154</v>
      </c>
      <c r="B646" t="s">
        <v>1308</v>
      </c>
      <c r="C646" t="s">
        <v>575</v>
      </c>
      <c r="D646" t="s">
        <v>763</v>
      </c>
      <c r="E646" t="s">
        <v>555</v>
      </c>
      <c r="F646">
        <v>1076</v>
      </c>
      <c r="G646">
        <v>3</v>
      </c>
      <c r="H646">
        <v>1</v>
      </c>
      <c r="I646">
        <v>0</v>
      </c>
      <c r="J646">
        <v>1</v>
      </c>
      <c r="K646">
        <v>4</v>
      </c>
      <c r="L646">
        <v>1</v>
      </c>
      <c r="M646">
        <v>0.33460000000000001</v>
      </c>
      <c r="N646">
        <v>0</v>
      </c>
    </row>
    <row r="647" spans="1:14">
      <c r="A647" t="s">
        <v>154</v>
      </c>
      <c r="B647" t="s">
        <v>1309</v>
      </c>
      <c r="C647" t="s">
        <v>575</v>
      </c>
      <c r="D647" t="s">
        <v>686</v>
      </c>
      <c r="E647" t="s">
        <v>555</v>
      </c>
      <c r="F647">
        <v>1632</v>
      </c>
      <c r="G647">
        <v>4</v>
      </c>
      <c r="H647">
        <v>2</v>
      </c>
      <c r="I647">
        <v>0</v>
      </c>
      <c r="J647">
        <v>1</v>
      </c>
      <c r="K647">
        <v>6</v>
      </c>
      <c r="L647">
        <v>1</v>
      </c>
      <c r="M647">
        <v>0.33090000000000003</v>
      </c>
      <c r="N647">
        <v>0</v>
      </c>
    </row>
    <row r="648" spans="1:14">
      <c r="A648" t="s">
        <v>154</v>
      </c>
      <c r="B648" t="s">
        <v>1310</v>
      </c>
      <c r="C648" t="s">
        <v>575</v>
      </c>
      <c r="I648">
        <v>0</v>
      </c>
      <c r="N648">
        <v>0</v>
      </c>
    </row>
    <row r="649" spans="1:14">
      <c r="A649" t="s">
        <v>154</v>
      </c>
      <c r="B649" t="s">
        <v>1311</v>
      </c>
      <c r="C649" t="s">
        <v>575</v>
      </c>
      <c r="D649" t="s">
        <v>586</v>
      </c>
      <c r="E649" t="s">
        <v>555</v>
      </c>
      <c r="F649">
        <v>318</v>
      </c>
      <c r="G649">
        <v>1</v>
      </c>
      <c r="H649">
        <v>0</v>
      </c>
      <c r="I649">
        <v>0</v>
      </c>
      <c r="J649">
        <v>1</v>
      </c>
      <c r="K649">
        <v>1</v>
      </c>
      <c r="L649">
        <v>0</v>
      </c>
      <c r="M649">
        <v>0</v>
      </c>
      <c r="N649">
        <v>0</v>
      </c>
    </row>
    <row r="650" spans="1:14">
      <c r="A650" t="s">
        <v>154</v>
      </c>
      <c r="B650" t="s">
        <v>1312</v>
      </c>
      <c r="C650" t="s">
        <v>572</v>
      </c>
      <c r="I650">
        <v>0</v>
      </c>
      <c r="N650">
        <v>0</v>
      </c>
    </row>
    <row r="651" spans="1:14">
      <c r="A651" t="s">
        <v>154</v>
      </c>
      <c r="B651" t="s">
        <v>1313</v>
      </c>
      <c r="C651" t="s">
        <v>572</v>
      </c>
      <c r="I651">
        <v>0</v>
      </c>
      <c r="N651">
        <v>0</v>
      </c>
    </row>
    <row r="652" spans="1:14">
      <c r="A652" t="s">
        <v>148</v>
      </c>
      <c r="B652" t="s">
        <v>1314</v>
      </c>
      <c r="C652" t="s">
        <v>572</v>
      </c>
      <c r="I652">
        <v>0</v>
      </c>
      <c r="N652">
        <v>0</v>
      </c>
    </row>
    <row r="653" spans="1:14">
      <c r="A653" t="s">
        <v>148</v>
      </c>
      <c r="B653" t="s">
        <v>1315</v>
      </c>
      <c r="C653" t="s">
        <v>553</v>
      </c>
      <c r="I653">
        <v>0</v>
      </c>
      <c r="N653">
        <v>0</v>
      </c>
    </row>
    <row r="654" spans="1:14">
      <c r="A654" t="s">
        <v>148</v>
      </c>
      <c r="B654" t="s">
        <v>1316</v>
      </c>
      <c r="C654" t="s">
        <v>557</v>
      </c>
      <c r="I654">
        <v>0</v>
      </c>
      <c r="N654">
        <v>0</v>
      </c>
    </row>
    <row r="655" spans="1:14">
      <c r="A655" t="s">
        <v>148</v>
      </c>
      <c r="B655" t="s">
        <v>1317</v>
      </c>
      <c r="C655" t="s">
        <v>557</v>
      </c>
      <c r="I655">
        <v>0</v>
      </c>
      <c r="N655">
        <v>0</v>
      </c>
    </row>
    <row r="656" spans="1:14">
      <c r="A656" t="s">
        <v>148</v>
      </c>
      <c r="B656" t="s">
        <v>1318</v>
      </c>
      <c r="C656" t="s">
        <v>553</v>
      </c>
      <c r="I656">
        <v>0</v>
      </c>
      <c r="N656">
        <v>0</v>
      </c>
    </row>
    <row r="657" spans="1:14">
      <c r="A657" t="s">
        <v>148</v>
      </c>
      <c r="B657" t="s">
        <v>1319</v>
      </c>
      <c r="C657" t="s">
        <v>553</v>
      </c>
      <c r="I657">
        <v>0</v>
      </c>
      <c r="N657">
        <v>0</v>
      </c>
    </row>
    <row r="658" spans="1:14">
      <c r="A658" t="s">
        <v>148</v>
      </c>
      <c r="B658" t="s">
        <v>1320</v>
      </c>
      <c r="C658" t="s">
        <v>553</v>
      </c>
      <c r="I658">
        <v>0</v>
      </c>
      <c r="N658">
        <v>0</v>
      </c>
    </row>
    <row r="659" spans="1:14">
      <c r="A659" t="s">
        <v>148</v>
      </c>
      <c r="B659" t="s">
        <v>1321</v>
      </c>
      <c r="C659" t="s">
        <v>557</v>
      </c>
      <c r="I659">
        <v>0</v>
      </c>
      <c r="N659">
        <v>0</v>
      </c>
    </row>
    <row r="660" spans="1:14">
      <c r="A660" t="s">
        <v>148</v>
      </c>
      <c r="B660" t="s">
        <v>1322</v>
      </c>
      <c r="C660" t="s">
        <v>575</v>
      </c>
      <c r="D660" t="s">
        <v>936</v>
      </c>
      <c r="E660" t="s">
        <v>561</v>
      </c>
      <c r="F660">
        <v>2212</v>
      </c>
      <c r="G660">
        <v>6</v>
      </c>
      <c r="H660">
        <v>6</v>
      </c>
      <c r="I660">
        <v>0</v>
      </c>
      <c r="J660">
        <v>1</v>
      </c>
      <c r="K660">
        <v>12</v>
      </c>
      <c r="L660">
        <v>1</v>
      </c>
      <c r="M660">
        <v>0.48820000000000002</v>
      </c>
      <c r="N660">
        <v>0</v>
      </c>
    </row>
    <row r="661" spans="1:14">
      <c r="A661" t="s">
        <v>148</v>
      </c>
      <c r="B661" t="s">
        <v>1323</v>
      </c>
      <c r="C661" t="s">
        <v>553</v>
      </c>
      <c r="I661">
        <v>0</v>
      </c>
      <c r="N661">
        <v>0</v>
      </c>
    </row>
    <row r="662" spans="1:14">
      <c r="A662" t="s">
        <v>148</v>
      </c>
      <c r="B662" t="s">
        <v>1324</v>
      </c>
      <c r="C662" t="s">
        <v>557</v>
      </c>
      <c r="I662">
        <v>0</v>
      </c>
      <c r="N662">
        <v>0</v>
      </c>
    </row>
    <row r="663" spans="1:14">
      <c r="A663" t="s">
        <v>148</v>
      </c>
      <c r="B663" t="s">
        <v>1325</v>
      </c>
      <c r="C663" t="s">
        <v>557</v>
      </c>
      <c r="I663">
        <v>0</v>
      </c>
      <c r="N663">
        <v>0</v>
      </c>
    </row>
    <row r="664" spans="1:14">
      <c r="A664" t="s">
        <v>148</v>
      </c>
      <c r="B664" t="s">
        <v>1326</v>
      </c>
      <c r="C664" t="s">
        <v>553</v>
      </c>
      <c r="I664">
        <v>0</v>
      </c>
      <c r="N664">
        <v>0</v>
      </c>
    </row>
    <row r="665" spans="1:14">
      <c r="A665" t="s">
        <v>148</v>
      </c>
      <c r="B665" t="s">
        <v>1327</v>
      </c>
      <c r="C665" t="s">
        <v>557</v>
      </c>
      <c r="I665">
        <v>0</v>
      </c>
      <c r="N665">
        <v>0</v>
      </c>
    </row>
    <row r="666" spans="1:14">
      <c r="A666" t="s">
        <v>148</v>
      </c>
      <c r="B666" t="s">
        <v>1328</v>
      </c>
      <c r="C666" t="s">
        <v>553</v>
      </c>
      <c r="I666">
        <v>0</v>
      </c>
      <c r="N666">
        <v>0</v>
      </c>
    </row>
    <row r="667" spans="1:14">
      <c r="A667" t="s">
        <v>148</v>
      </c>
      <c r="B667" t="s">
        <v>1329</v>
      </c>
      <c r="C667" t="s">
        <v>557</v>
      </c>
      <c r="I667">
        <v>0</v>
      </c>
      <c r="N667">
        <v>0</v>
      </c>
    </row>
    <row r="668" spans="1:14">
      <c r="A668" t="s">
        <v>148</v>
      </c>
      <c r="B668" t="s">
        <v>1330</v>
      </c>
      <c r="C668" t="s">
        <v>553</v>
      </c>
      <c r="I668">
        <v>0</v>
      </c>
      <c r="N668">
        <v>0</v>
      </c>
    </row>
    <row r="669" spans="1:14">
      <c r="A669" t="s">
        <v>148</v>
      </c>
      <c r="B669" t="s">
        <v>1331</v>
      </c>
      <c r="C669" t="s">
        <v>553</v>
      </c>
      <c r="I669">
        <v>0</v>
      </c>
      <c r="N669">
        <v>0</v>
      </c>
    </row>
    <row r="670" spans="1:14">
      <c r="A670" t="s">
        <v>148</v>
      </c>
      <c r="B670" t="s">
        <v>1332</v>
      </c>
      <c r="C670" t="s">
        <v>575</v>
      </c>
      <c r="I670">
        <v>0</v>
      </c>
      <c r="N670">
        <v>0</v>
      </c>
    </row>
    <row r="671" spans="1:14">
      <c r="A671" t="s">
        <v>148</v>
      </c>
      <c r="B671" t="s">
        <v>1333</v>
      </c>
      <c r="C671" t="s">
        <v>575</v>
      </c>
      <c r="I671">
        <v>0</v>
      </c>
      <c r="N671">
        <v>0</v>
      </c>
    </row>
    <row r="672" spans="1:14">
      <c r="A672" t="s">
        <v>148</v>
      </c>
      <c r="B672" t="s">
        <v>1334</v>
      </c>
      <c r="C672" t="s">
        <v>557</v>
      </c>
      <c r="I672">
        <v>0</v>
      </c>
      <c r="N672">
        <v>0</v>
      </c>
    </row>
    <row r="673" spans="1:14">
      <c r="A673" t="s">
        <v>148</v>
      </c>
      <c r="B673" t="s">
        <v>1335</v>
      </c>
      <c r="C673" t="s">
        <v>553</v>
      </c>
      <c r="I673">
        <v>0</v>
      </c>
      <c r="N673">
        <v>0</v>
      </c>
    </row>
    <row r="674" spans="1:14">
      <c r="A674" t="s">
        <v>148</v>
      </c>
      <c r="B674" t="s">
        <v>1336</v>
      </c>
      <c r="C674" t="s">
        <v>572</v>
      </c>
      <c r="I674">
        <v>0</v>
      </c>
      <c r="N674">
        <v>0</v>
      </c>
    </row>
    <row r="675" spans="1:14">
      <c r="A675" t="s">
        <v>148</v>
      </c>
      <c r="B675" t="s">
        <v>1337</v>
      </c>
      <c r="C675" t="s">
        <v>572</v>
      </c>
      <c r="I675">
        <v>0</v>
      </c>
      <c r="N675">
        <v>0</v>
      </c>
    </row>
    <row r="676" spans="1:14">
      <c r="A676" t="s">
        <v>148</v>
      </c>
      <c r="B676" t="s">
        <v>1338</v>
      </c>
      <c r="C676" t="s">
        <v>557</v>
      </c>
      <c r="I676">
        <v>0</v>
      </c>
      <c r="N676">
        <v>0</v>
      </c>
    </row>
    <row r="677" spans="1:14">
      <c r="A677" t="s">
        <v>148</v>
      </c>
      <c r="B677" t="s">
        <v>1339</v>
      </c>
      <c r="C677" t="s">
        <v>557</v>
      </c>
      <c r="I677">
        <v>0</v>
      </c>
      <c r="N677">
        <v>0</v>
      </c>
    </row>
    <row r="678" spans="1:14">
      <c r="A678" t="s">
        <v>116</v>
      </c>
      <c r="B678" t="s">
        <v>1340</v>
      </c>
      <c r="C678" t="s">
        <v>553</v>
      </c>
      <c r="I678">
        <v>0</v>
      </c>
      <c r="N678">
        <v>0</v>
      </c>
    </row>
    <row r="679" spans="1:14">
      <c r="A679" t="s">
        <v>116</v>
      </c>
      <c r="B679" t="s">
        <v>1341</v>
      </c>
      <c r="C679" t="s">
        <v>553</v>
      </c>
      <c r="I679">
        <v>0</v>
      </c>
      <c r="N679">
        <v>0</v>
      </c>
    </row>
    <row r="680" spans="1:14">
      <c r="A680" t="s">
        <v>116</v>
      </c>
      <c r="B680" t="s">
        <v>1342</v>
      </c>
      <c r="C680" t="s">
        <v>575</v>
      </c>
      <c r="D680" t="s">
        <v>771</v>
      </c>
      <c r="E680" t="s">
        <v>561</v>
      </c>
      <c r="F680">
        <v>1519</v>
      </c>
      <c r="G680">
        <v>3</v>
      </c>
      <c r="H680">
        <v>4</v>
      </c>
      <c r="I680">
        <v>273</v>
      </c>
      <c r="J680">
        <v>1</v>
      </c>
      <c r="K680">
        <v>7</v>
      </c>
      <c r="L680">
        <v>1</v>
      </c>
      <c r="M680">
        <v>0.41470000000000001</v>
      </c>
      <c r="N680">
        <v>0</v>
      </c>
    </row>
    <row r="681" spans="1:14">
      <c r="A681" t="s">
        <v>116</v>
      </c>
      <c r="B681" t="s">
        <v>1343</v>
      </c>
      <c r="C681" t="s">
        <v>572</v>
      </c>
      <c r="I681">
        <v>0</v>
      </c>
      <c r="N681">
        <v>0</v>
      </c>
    </row>
    <row r="682" spans="1:14">
      <c r="A682" t="s">
        <v>116</v>
      </c>
      <c r="B682" t="s">
        <v>1344</v>
      </c>
      <c r="C682" t="s">
        <v>557</v>
      </c>
      <c r="I682">
        <v>0</v>
      </c>
      <c r="N682">
        <v>0</v>
      </c>
    </row>
    <row r="683" spans="1:14">
      <c r="A683" t="s">
        <v>116</v>
      </c>
      <c r="B683" t="s">
        <v>1345</v>
      </c>
      <c r="C683" t="s">
        <v>557</v>
      </c>
      <c r="I683">
        <v>0</v>
      </c>
      <c r="N683">
        <v>0</v>
      </c>
    </row>
    <row r="684" spans="1:14">
      <c r="A684" t="s">
        <v>116</v>
      </c>
      <c r="B684" t="s">
        <v>1346</v>
      </c>
      <c r="C684" t="s">
        <v>553</v>
      </c>
      <c r="D684" t="s">
        <v>668</v>
      </c>
      <c r="E684" t="s">
        <v>555</v>
      </c>
      <c r="F684">
        <v>1602</v>
      </c>
      <c r="G684">
        <v>1</v>
      </c>
      <c r="H684">
        <v>1</v>
      </c>
      <c r="I684">
        <v>339</v>
      </c>
      <c r="J684">
        <v>1</v>
      </c>
      <c r="K684">
        <v>2</v>
      </c>
      <c r="L684">
        <v>0</v>
      </c>
      <c r="M684">
        <v>0</v>
      </c>
      <c r="N684">
        <v>1</v>
      </c>
    </row>
    <row r="685" spans="1:14">
      <c r="A685" t="s">
        <v>116</v>
      </c>
      <c r="B685" t="s">
        <v>1347</v>
      </c>
      <c r="C685" t="s">
        <v>557</v>
      </c>
      <c r="I685">
        <v>0</v>
      </c>
      <c r="N685">
        <v>0</v>
      </c>
    </row>
    <row r="686" spans="1:14">
      <c r="A686" t="s">
        <v>116</v>
      </c>
      <c r="B686" t="s">
        <v>1348</v>
      </c>
      <c r="C686" t="s">
        <v>575</v>
      </c>
      <c r="I686">
        <v>0</v>
      </c>
      <c r="N686">
        <v>0</v>
      </c>
    </row>
    <row r="687" spans="1:14">
      <c r="A687" t="s">
        <v>116</v>
      </c>
      <c r="B687" t="s">
        <v>1349</v>
      </c>
      <c r="C687" t="s">
        <v>575</v>
      </c>
      <c r="D687" t="s">
        <v>688</v>
      </c>
      <c r="E687" t="s">
        <v>555</v>
      </c>
      <c r="F687">
        <v>2185</v>
      </c>
      <c r="G687">
        <v>4</v>
      </c>
      <c r="H687">
        <v>2</v>
      </c>
      <c r="I687">
        <v>0</v>
      </c>
      <c r="J687">
        <v>1</v>
      </c>
      <c r="K687">
        <v>6</v>
      </c>
      <c r="L687">
        <v>1</v>
      </c>
      <c r="M687">
        <v>0.24709999999999999</v>
      </c>
      <c r="N687">
        <v>0</v>
      </c>
    </row>
    <row r="688" spans="1:14">
      <c r="A688" t="s">
        <v>116</v>
      </c>
      <c r="B688" t="s">
        <v>1350</v>
      </c>
      <c r="C688" t="s">
        <v>557</v>
      </c>
      <c r="I688">
        <v>0</v>
      </c>
      <c r="N688">
        <v>0</v>
      </c>
    </row>
    <row r="689" spans="1:14">
      <c r="A689" t="s">
        <v>116</v>
      </c>
      <c r="B689" t="s">
        <v>1351</v>
      </c>
      <c r="C689" t="s">
        <v>575</v>
      </c>
      <c r="I689">
        <v>0</v>
      </c>
      <c r="N689">
        <v>0</v>
      </c>
    </row>
    <row r="690" spans="1:14">
      <c r="A690" t="s">
        <v>116</v>
      </c>
      <c r="B690" t="s">
        <v>1352</v>
      </c>
      <c r="C690" t="s">
        <v>575</v>
      </c>
      <c r="D690" t="s">
        <v>691</v>
      </c>
      <c r="E690" t="s">
        <v>570</v>
      </c>
      <c r="F690">
        <v>1446</v>
      </c>
      <c r="G690">
        <v>1</v>
      </c>
      <c r="H690">
        <v>2</v>
      </c>
      <c r="I690">
        <v>0</v>
      </c>
      <c r="J690">
        <v>1</v>
      </c>
      <c r="K690">
        <v>3</v>
      </c>
      <c r="L690">
        <v>1</v>
      </c>
      <c r="M690">
        <v>0.1867</v>
      </c>
      <c r="N690">
        <v>0</v>
      </c>
    </row>
    <row r="691" spans="1:14">
      <c r="A691" t="s">
        <v>116</v>
      </c>
      <c r="B691" t="s">
        <v>1353</v>
      </c>
      <c r="C691" t="s">
        <v>557</v>
      </c>
      <c r="I691">
        <v>0</v>
      </c>
      <c r="N691">
        <v>0</v>
      </c>
    </row>
    <row r="692" spans="1:14">
      <c r="A692" t="s">
        <v>116</v>
      </c>
      <c r="B692" t="s">
        <v>1354</v>
      </c>
      <c r="C692" t="s">
        <v>557</v>
      </c>
      <c r="I692">
        <v>0</v>
      </c>
      <c r="N692">
        <v>0</v>
      </c>
    </row>
    <row r="693" spans="1:14">
      <c r="A693" t="s">
        <v>116</v>
      </c>
      <c r="B693" t="s">
        <v>1355</v>
      </c>
      <c r="C693" t="s">
        <v>557</v>
      </c>
      <c r="D693" t="s">
        <v>763</v>
      </c>
      <c r="E693" t="s">
        <v>555</v>
      </c>
      <c r="F693">
        <v>1584</v>
      </c>
      <c r="G693">
        <v>3</v>
      </c>
      <c r="H693">
        <v>1</v>
      </c>
      <c r="I693">
        <v>0</v>
      </c>
      <c r="J693">
        <v>1</v>
      </c>
      <c r="K693">
        <v>4</v>
      </c>
      <c r="L693">
        <v>0</v>
      </c>
      <c r="M693">
        <v>0</v>
      </c>
      <c r="N693">
        <v>0</v>
      </c>
    </row>
    <row r="694" spans="1:14">
      <c r="A694" t="s">
        <v>116</v>
      </c>
      <c r="B694" t="s">
        <v>1356</v>
      </c>
      <c r="C694" t="s">
        <v>557</v>
      </c>
      <c r="I694">
        <v>0</v>
      </c>
      <c r="N694">
        <v>0</v>
      </c>
    </row>
    <row r="695" spans="1:14">
      <c r="A695" t="s">
        <v>116</v>
      </c>
      <c r="B695" t="s">
        <v>1357</v>
      </c>
      <c r="C695" t="s">
        <v>553</v>
      </c>
      <c r="I695">
        <v>0</v>
      </c>
      <c r="N695">
        <v>0</v>
      </c>
    </row>
    <row r="696" spans="1:14">
      <c r="A696" t="s">
        <v>116</v>
      </c>
      <c r="B696" t="s">
        <v>1358</v>
      </c>
      <c r="C696" t="s">
        <v>575</v>
      </c>
      <c r="I696">
        <v>0</v>
      </c>
      <c r="N696">
        <v>0</v>
      </c>
    </row>
    <row r="697" spans="1:14">
      <c r="A697" t="s">
        <v>116</v>
      </c>
      <c r="B697" t="s">
        <v>1359</v>
      </c>
      <c r="C697" t="s">
        <v>575</v>
      </c>
      <c r="I697">
        <v>0</v>
      </c>
      <c r="N697">
        <v>0</v>
      </c>
    </row>
    <row r="698" spans="1:14">
      <c r="A698" t="s">
        <v>116</v>
      </c>
      <c r="B698" t="s">
        <v>1360</v>
      </c>
      <c r="C698" t="s">
        <v>572</v>
      </c>
      <c r="I698">
        <v>0</v>
      </c>
      <c r="N698">
        <v>0</v>
      </c>
    </row>
    <row r="699" spans="1:14">
      <c r="A699" t="s">
        <v>116</v>
      </c>
      <c r="B699" t="s">
        <v>1361</v>
      </c>
      <c r="C699" t="s">
        <v>575</v>
      </c>
      <c r="I699">
        <v>0</v>
      </c>
      <c r="N699">
        <v>0</v>
      </c>
    </row>
    <row r="700" spans="1:14">
      <c r="A700" t="s">
        <v>116</v>
      </c>
      <c r="B700" t="s">
        <v>1362</v>
      </c>
      <c r="C700" t="s">
        <v>572</v>
      </c>
      <c r="I700">
        <v>0</v>
      </c>
      <c r="N700">
        <v>0</v>
      </c>
    </row>
    <row r="701" spans="1:14">
      <c r="A701" t="s">
        <v>116</v>
      </c>
      <c r="B701" t="s">
        <v>1363</v>
      </c>
      <c r="C701" t="s">
        <v>575</v>
      </c>
      <c r="I701">
        <v>0</v>
      </c>
      <c r="N701">
        <v>0</v>
      </c>
    </row>
    <row r="702" spans="1:14">
      <c r="A702" t="s">
        <v>116</v>
      </c>
      <c r="B702" t="s">
        <v>1364</v>
      </c>
      <c r="C702" t="s">
        <v>553</v>
      </c>
      <c r="I702">
        <v>0</v>
      </c>
      <c r="N702">
        <v>0</v>
      </c>
    </row>
    <row r="703" spans="1:14">
      <c r="A703" t="s">
        <v>116</v>
      </c>
      <c r="B703" t="s">
        <v>1365</v>
      </c>
      <c r="C703" t="s">
        <v>553</v>
      </c>
      <c r="I703">
        <v>0</v>
      </c>
      <c r="N703">
        <v>0</v>
      </c>
    </row>
    <row r="704" spans="1:14">
      <c r="A704" t="s">
        <v>115</v>
      </c>
      <c r="B704" t="s">
        <v>1366</v>
      </c>
      <c r="C704" t="s">
        <v>572</v>
      </c>
      <c r="I704">
        <v>0</v>
      </c>
      <c r="N704">
        <v>0</v>
      </c>
    </row>
    <row r="705" spans="1:14">
      <c r="A705" t="s">
        <v>115</v>
      </c>
      <c r="B705" t="s">
        <v>1367</v>
      </c>
      <c r="C705" t="s">
        <v>575</v>
      </c>
      <c r="I705">
        <v>0</v>
      </c>
      <c r="N705">
        <v>0</v>
      </c>
    </row>
    <row r="706" spans="1:14">
      <c r="A706" t="s">
        <v>115</v>
      </c>
      <c r="B706" t="s">
        <v>1368</v>
      </c>
      <c r="C706" t="s">
        <v>575</v>
      </c>
      <c r="I706">
        <v>0</v>
      </c>
      <c r="N706">
        <v>0</v>
      </c>
    </row>
    <row r="707" spans="1:14">
      <c r="A707" t="s">
        <v>115</v>
      </c>
      <c r="B707" t="s">
        <v>1369</v>
      </c>
      <c r="C707" t="s">
        <v>553</v>
      </c>
      <c r="I707">
        <v>0</v>
      </c>
      <c r="N707">
        <v>0</v>
      </c>
    </row>
    <row r="708" spans="1:14">
      <c r="A708" t="s">
        <v>115</v>
      </c>
      <c r="B708" t="s">
        <v>1370</v>
      </c>
      <c r="C708" t="s">
        <v>553</v>
      </c>
      <c r="D708" t="s">
        <v>1371</v>
      </c>
      <c r="E708" t="s">
        <v>566</v>
      </c>
      <c r="F708">
        <v>3215</v>
      </c>
      <c r="G708">
        <v>1</v>
      </c>
      <c r="H708">
        <v>0</v>
      </c>
      <c r="I708">
        <v>0</v>
      </c>
      <c r="J708">
        <v>1</v>
      </c>
      <c r="K708">
        <v>1</v>
      </c>
      <c r="L708">
        <v>0</v>
      </c>
      <c r="M708">
        <v>0</v>
      </c>
      <c r="N708">
        <v>0</v>
      </c>
    </row>
    <row r="709" spans="1:14">
      <c r="A709" t="s">
        <v>115</v>
      </c>
      <c r="B709" t="s">
        <v>1372</v>
      </c>
      <c r="C709" t="s">
        <v>553</v>
      </c>
      <c r="I709">
        <v>0</v>
      </c>
      <c r="N709">
        <v>0</v>
      </c>
    </row>
    <row r="710" spans="1:14">
      <c r="A710" t="s">
        <v>115</v>
      </c>
      <c r="B710" t="s">
        <v>1373</v>
      </c>
      <c r="C710" t="s">
        <v>557</v>
      </c>
      <c r="I710">
        <v>0</v>
      </c>
      <c r="N710">
        <v>0</v>
      </c>
    </row>
    <row r="711" spans="1:14">
      <c r="A711" t="s">
        <v>115</v>
      </c>
      <c r="B711" t="s">
        <v>1374</v>
      </c>
      <c r="C711" t="s">
        <v>575</v>
      </c>
      <c r="D711" t="s">
        <v>710</v>
      </c>
      <c r="E711" t="s">
        <v>570</v>
      </c>
      <c r="F711">
        <v>2189</v>
      </c>
      <c r="G711">
        <v>5</v>
      </c>
      <c r="H711">
        <v>3</v>
      </c>
      <c r="I711">
        <v>0</v>
      </c>
      <c r="J711">
        <v>1</v>
      </c>
      <c r="K711">
        <v>8</v>
      </c>
      <c r="L711">
        <v>1</v>
      </c>
      <c r="M711">
        <v>0.32890000000000003</v>
      </c>
      <c r="N711">
        <v>0</v>
      </c>
    </row>
    <row r="712" spans="1:14">
      <c r="A712" t="s">
        <v>115</v>
      </c>
      <c r="B712" t="s">
        <v>1375</v>
      </c>
      <c r="C712" t="s">
        <v>553</v>
      </c>
      <c r="I712">
        <v>0</v>
      </c>
      <c r="N712">
        <v>0</v>
      </c>
    </row>
    <row r="713" spans="1:14">
      <c r="A713" t="s">
        <v>115</v>
      </c>
      <c r="B713" t="s">
        <v>1376</v>
      </c>
      <c r="C713" t="s">
        <v>557</v>
      </c>
      <c r="I713">
        <v>0</v>
      </c>
      <c r="N713">
        <v>0</v>
      </c>
    </row>
    <row r="714" spans="1:14">
      <c r="A714" t="s">
        <v>115</v>
      </c>
      <c r="B714" t="s">
        <v>1377</v>
      </c>
      <c r="C714" t="s">
        <v>557</v>
      </c>
      <c r="I714">
        <v>0</v>
      </c>
      <c r="N714">
        <v>0</v>
      </c>
    </row>
    <row r="715" spans="1:14">
      <c r="A715" t="s">
        <v>115</v>
      </c>
      <c r="B715" t="s">
        <v>1378</v>
      </c>
      <c r="C715" t="s">
        <v>557</v>
      </c>
      <c r="I715">
        <v>0</v>
      </c>
      <c r="N715">
        <v>0</v>
      </c>
    </row>
    <row r="716" spans="1:14">
      <c r="A716" t="s">
        <v>115</v>
      </c>
      <c r="B716" t="s">
        <v>1379</v>
      </c>
      <c r="C716" t="s">
        <v>553</v>
      </c>
      <c r="I716">
        <v>0</v>
      </c>
      <c r="N716">
        <v>0</v>
      </c>
    </row>
    <row r="717" spans="1:14">
      <c r="A717" t="s">
        <v>115</v>
      </c>
      <c r="B717" t="s">
        <v>1380</v>
      </c>
      <c r="C717" t="s">
        <v>557</v>
      </c>
      <c r="I717">
        <v>0</v>
      </c>
      <c r="N717">
        <v>0</v>
      </c>
    </row>
    <row r="718" spans="1:14">
      <c r="A718" t="s">
        <v>115</v>
      </c>
      <c r="B718" t="s">
        <v>1381</v>
      </c>
      <c r="C718" t="s">
        <v>557</v>
      </c>
      <c r="D718" t="s">
        <v>631</v>
      </c>
      <c r="E718" t="s">
        <v>610</v>
      </c>
      <c r="F718">
        <v>542</v>
      </c>
      <c r="G718">
        <v>1</v>
      </c>
      <c r="H718">
        <v>0</v>
      </c>
      <c r="I718">
        <v>0</v>
      </c>
      <c r="J718">
        <v>1</v>
      </c>
      <c r="K718">
        <v>1</v>
      </c>
      <c r="L718">
        <v>0</v>
      </c>
      <c r="M718">
        <v>0</v>
      </c>
      <c r="N718">
        <v>0</v>
      </c>
    </row>
    <row r="719" spans="1:14">
      <c r="A719" t="s">
        <v>115</v>
      </c>
      <c r="B719" t="s">
        <v>1382</v>
      </c>
      <c r="C719" t="s">
        <v>553</v>
      </c>
      <c r="I719">
        <v>0</v>
      </c>
      <c r="N719">
        <v>0</v>
      </c>
    </row>
    <row r="720" spans="1:14">
      <c r="A720" t="s">
        <v>115</v>
      </c>
      <c r="B720" t="s">
        <v>1383</v>
      </c>
      <c r="C720" t="s">
        <v>575</v>
      </c>
      <c r="I720">
        <v>0</v>
      </c>
      <c r="N720">
        <v>0</v>
      </c>
    </row>
    <row r="721" spans="1:14">
      <c r="A721" t="s">
        <v>115</v>
      </c>
      <c r="B721" t="s">
        <v>1384</v>
      </c>
      <c r="C721" t="s">
        <v>575</v>
      </c>
      <c r="D721" t="s">
        <v>729</v>
      </c>
      <c r="E721" t="s">
        <v>566</v>
      </c>
      <c r="F721">
        <v>892</v>
      </c>
      <c r="G721">
        <v>0</v>
      </c>
      <c r="H721">
        <v>1</v>
      </c>
      <c r="I721">
        <v>0</v>
      </c>
      <c r="J721">
        <v>1</v>
      </c>
      <c r="K721">
        <v>1</v>
      </c>
      <c r="L721">
        <v>0</v>
      </c>
      <c r="M721">
        <v>0</v>
      </c>
      <c r="N721">
        <v>0</v>
      </c>
    </row>
    <row r="722" spans="1:14">
      <c r="A722" t="s">
        <v>115</v>
      </c>
      <c r="B722" t="s">
        <v>1385</v>
      </c>
      <c r="C722" t="s">
        <v>557</v>
      </c>
      <c r="D722" t="s">
        <v>609</v>
      </c>
      <c r="E722" t="s">
        <v>610</v>
      </c>
      <c r="F722">
        <v>740</v>
      </c>
      <c r="G722">
        <v>0</v>
      </c>
      <c r="H722">
        <v>1</v>
      </c>
      <c r="I722">
        <v>0</v>
      </c>
      <c r="J722">
        <v>1</v>
      </c>
      <c r="K722">
        <v>1</v>
      </c>
      <c r="L722">
        <v>0</v>
      </c>
      <c r="M722">
        <v>0</v>
      </c>
      <c r="N722">
        <v>0</v>
      </c>
    </row>
    <row r="723" spans="1:14">
      <c r="A723" t="s">
        <v>115</v>
      </c>
      <c r="B723" t="s">
        <v>1386</v>
      </c>
      <c r="C723" t="s">
        <v>575</v>
      </c>
      <c r="I723">
        <v>0</v>
      </c>
      <c r="N723">
        <v>0</v>
      </c>
    </row>
    <row r="724" spans="1:14">
      <c r="A724" t="s">
        <v>115</v>
      </c>
      <c r="B724" t="s">
        <v>1387</v>
      </c>
      <c r="C724" t="s">
        <v>557</v>
      </c>
      <c r="I724">
        <v>0</v>
      </c>
      <c r="N724">
        <v>0</v>
      </c>
    </row>
    <row r="725" spans="1:14">
      <c r="A725" t="s">
        <v>115</v>
      </c>
      <c r="B725" t="s">
        <v>1388</v>
      </c>
      <c r="C725" t="s">
        <v>575</v>
      </c>
      <c r="I725">
        <v>0</v>
      </c>
      <c r="N725">
        <v>0</v>
      </c>
    </row>
    <row r="726" spans="1:14">
      <c r="A726" t="s">
        <v>115</v>
      </c>
      <c r="B726" t="s">
        <v>1389</v>
      </c>
      <c r="C726" t="s">
        <v>572</v>
      </c>
      <c r="I726">
        <v>0</v>
      </c>
      <c r="N726">
        <v>0</v>
      </c>
    </row>
    <row r="727" spans="1:14">
      <c r="A727" t="s">
        <v>115</v>
      </c>
      <c r="B727" t="s">
        <v>1390</v>
      </c>
      <c r="C727" t="s">
        <v>575</v>
      </c>
      <c r="I727">
        <v>0</v>
      </c>
      <c r="N727">
        <v>0</v>
      </c>
    </row>
    <row r="728" spans="1:14">
      <c r="A728" t="s">
        <v>115</v>
      </c>
      <c r="B728" t="s">
        <v>1391</v>
      </c>
      <c r="C728" t="s">
        <v>575</v>
      </c>
      <c r="I728">
        <v>0</v>
      </c>
      <c r="N728">
        <v>0</v>
      </c>
    </row>
    <row r="729" spans="1:14">
      <c r="A729" t="s">
        <v>115</v>
      </c>
      <c r="B729" t="s">
        <v>1392</v>
      </c>
      <c r="C729" t="s">
        <v>572</v>
      </c>
      <c r="I729">
        <v>0</v>
      </c>
      <c r="N729">
        <v>0</v>
      </c>
    </row>
    <row r="730" spans="1:14">
      <c r="A730" t="s">
        <v>151</v>
      </c>
      <c r="B730" t="s">
        <v>1393</v>
      </c>
      <c r="C730" t="s">
        <v>572</v>
      </c>
      <c r="I730">
        <v>0</v>
      </c>
      <c r="N730">
        <v>0</v>
      </c>
    </row>
    <row r="731" spans="1:14">
      <c r="A731" t="s">
        <v>151</v>
      </c>
      <c r="B731" t="s">
        <v>1394</v>
      </c>
      <c r="C731" t="s">
        <v>553</v>
      </c>
      <c r="D731" t="s">
        <v>771</v>
      </c>
      <c r="E731" t="s">
        <v>561</v>
      </c>
      <c r="F731">
        <v>1375</v>
      </c>
      <c r="G731">
        <v>2</v>
      </c>
      <c r="H731">
        <v>2</v>
      </c>
      <c r="I731">
        <v>1154</v>
      </c>
      <c r="J731">
        <v>1</v>
      </c>
      <c r="K731">
        <v>4</v>
      </c>
      <c r="L731">
        <v>0</v>
      </c>
      <c r="M731">
        <v>0</v>
      </c>
      <c r="N731">
        <v>1</v>
      </c>
    </row>
    <row r="732" spans="1:14">
      <c r="A732" t="s">
        <v>151</v>
      </c>
      <c r="B732" t="s">
        <v>1395</v>
      </c>
      <c r="C732" t="s">
        <v>557</v>
      </c>
      <c r="D732" t="s">
        <v>950</v>
      </c>
      <c r="E732" t="s">
        <v>566</v>
      </c>
      <c r="F732">
        <v>999</v>
      </c>
      <c r="G732">
        <v>1</v>
      </c>
      <c r="H732">
        <v>2</v>
      </c>
      <c r="I732">
        <v>0</v>
      </c>
      <c r="J732">
        <v>1</v>
      </c>
      <c r="K732">
        <v>3</v>
      </c>
      <c r="L732">
        <v>0</v>
      </c>
      <c r="M732">
        <v>0</v>
      </c>
      <c r="N732">
        <v>0</v>
      </c>
    </row>
    <row r="733" spans="1:14">
      <c r="A733" t="s">
        <v>151</v>
      </c>
      <c r="B733" t="s">
        <v>1396</v>
      </c>
      <c r="C733" t="s">
        <v>557</v>
      </c>
      <c r="D733" t="s">
        <v>741</v>
      </c>
      <c r="E733" t="s">
        <v>555</v>
      </c>
      <c r="F733">
        <v>1630</v>
      </c>
      <c r="G733">
        <v>4</v>
      </c>
      <c r="H733">
        <v>5</v>
      </c>
      <c r="I733">
        <v>0</v>
      </c>
      <c r="J733">
        <v>1</v>
      </c>
      <c r="K733">
        <v>9</v>
      </c>
      <c r="L733">
        <v>0</v>
      </c>
      <c r="M733">
        <v>0</v>
      </c>
      <c r="N733">
        <v>0</v>
      </c>
    </row>
    <row r="734" spans="1:14">
      <c r="A734" t="s">
        <v>151</v>
      </c>
      <c r="B734" t="s">
        <v>1397</v>
      </c>
      <c r="C734" t="s">
        <v>557</v>
      </c>
      <c r="D734" t="s">
        <v>677</v>
      </c>
      <c r="E734" t="s">
        <v>610</v>
      </c>
      <c r="F734">
        <v>1257</v>
      </c>
      <c r="G734">
        <v>1</v>
      </c>
      <c r="H734">
        <v>6</v>
      </c>
      <c r="I734">
        <v>416</v>
      </c>
      <c r="J734">
        <v>1</v>
      </c>
      <c r="K734">
        <v>7</v>
      </c>
      <c r="L734">
        <v>0</v>
      </c>
      <c r="M734">
        <v>0</v>
      </c>
      <c r="N734">
        <v>0</v>
      </c>
    </row>
    <row r="735" spans="1:14">
      <c r="A735" t="s">
        <v>151</v>
      </c>
      <c r="B735" t="s">
        <v>1398</v>
      </c>
      <c r="C735" t="s">
        <v>553</v>
      </c>
      <c r="D735" t="s">
        <v>604</v>
      </c>
      <c r="E735" t="s">
        <v>570</v>
      </c>
      <c r="F735">
        <v>985</v>
      </c>
      <c r="G735">
        <v>0</v>
      </c>
      <c r="H735">
        <v>0</v>
      </c>
      <c r="I735">
        <v>0</v>
      </c>
      <c r="J735">
        <v>1</v>
      </c>
      <c r="K735">
        <v>0</v>
      </c>
      <c r="L735">
        <v>0</v>
      </c>
      <c r="M735">
        <v>0</v>
      </c>
      <c r="N735">
        <v>0</v>
      </c>
    </row>
    <row r="736" spans="1:14">
      <c r="A736" t="s">
        <v>151</v>
      </c>
      <c r="B736" t="s">
        <v>1399</v>
      </c>
      <c r="C736" t="s">
        <v>553</v>
      </c>
      <c r="D736" t="s">
        <v>710</v>
      </c>
      <c r="E736" t="s">
        <v>570</v>
      </c>
      <c r="F736">
        <v>816</v>
      </c>
      <c r="G736">
        <v>1</v>
      </c>
      <c r="H736">
        <v>0</v>
      </c>
      <c r="I736">
        <v>0</v>
      </c>
      <c r="J736">
        <v>1</v>
      </c>
      <c r="K736">
        <v>1</v>
      </c>
      <c r="L736">
        <v>0</v>
      </c>
      <c r="M736">
        <v>0</v>
      </c>
      <c r="N736">
        <v>0</v>
      </c>
    </row>
    <row r="737" spans="1:14">
      <c r="A737" t="s">
        <v>151</v>
      </c>
      <c r="B737" t="s">
        <v>1400</v>
      </c>
      <c r="C737" t="s">
        <v>557</v>
      </c>
      <c r="D737" t="s">
        <v>733</v>
      </c>
      <c r="E737" t="s">
        <v>610</v>
      </c>
      <c r="F737">
        <v>1760</v>
      </c>
      <c r="G737">
        <v>4</v>
      </c>
      <c r="H737">
        <v>2</v>
      </c>
      <c r="I737">
        <v>0</v>
      </c>
      <c r="J737">
        <v>1</v>
      </c>
      <c r="K737">
        <v>6</v>
      </c>
      <c r="L737">
        <v>0</v>
      </c>
      <c r="M737">
        <v>0</v>
      </c>
      <c r="N737">
        <v>0</v>
      </c>
    </row>
    <row r="738" spans="1:14">
      <c r="A738" t="s">
        <v>151</v>
      </c>
      <c r="B738" t="s">
        <v>1401</v>
      </c>
      <c r="C738" t="s">
        <v>557</v>
      </c>
      <c r="D738" t="s">
        <v>560</v>
      </c>
      <c r="E738" t="s">
        <v>561</v>
      </c>
      <c r="F738">
        <v>2321</v>
      </c>
      <c r="G738">
        <v>0</v>
      </c>
      <c r="H738">
        <v>1</v>
      </c>
      <c r="I738">
        <v>0</v>
      </c>
      <c r="J738">
        <v>1</v>
      </c>
      <c r="K738">
        <v>1</v>
      </c>
      <c r="L738">
        <v>0</v>
      </c>
      <c r="M738">
        <v>0</v>
      </c>
      <c r="N738">
        <v>0</v>
      </c>
    </row>
    <row r="739" spans="1:14">
      <c r="A739" t="s">
        <v>151</v>
      </c>
      <c r="B739" t="s">
        <v>1402</v>
      </c>
      <c r="C739" t="s">
        <v>575</v>
      </c>
      <c r="I739">
        <v>603</v>
      </c>
      <c r="N739">
        <v>0</v>
      </c>
    </row>
    <row r="740" spans="1:14">
      <c r="A740" t="s">
        <v>151</v>
      </c>
      <c r="B740" t="s">
        <v>1403</v>
      </c>
      <c r="C740" t="s">
        <v>553</v>
      </c>
      <c r="D740" t="s">
        <v>862</v>
      </c>
      <c r="E740" t="s">
        <v>570</v>
      </c>
      <c r="F740">
        <v>552</v>
      </c>
      <c r="G740">
        <v>0</v>
      </c>
      <c r="H740">
        <v>1</v>
      </c>
      <c r="I740">
        <v>0</v>
      </c>
      <c r="J740">
        <v>1</v>
      </c>
      <c r="K740">
        <v>1</v>
      </c>
      <c r="L740">
        <v>0</v>
      </c>
      <c r="M740">
        <v>0</v>
      </c>
      <c r="N740">
        <v>0</v>
      </c>
    </row>
    <row r="741" spans="1:14">
      <c r="A741" t="s">
        <v>151</v>
      </c>
      <c r="B741" t="s">
        <v>1404</v>
      </c>
      <c r="C741" t="s">
        <v>553</v>
      </c>
      <c r="I741">
        <v>508</v>
      </c>
      <c r="N741">
        <v>1</v>
      </c>
    </row>
    <row r="742" spans="1:14">
      <c r="A742" t="s">
        <v>151</v>
      </c>
      <c r="B742" t="s">
        <v>1405</v>
      </c>
      <c r="C742" t="s">
        <v>553</v>
      </c>
      <c r="I742">
        <v>0</v>
      </c>
      <c r="N742">
        <v>0</v>
      </c>
    </row>
    <row r="743" spans="1:14">
      <c r="A743" t="s">
        <v>151</v>
      </c>
      <c r="B743" t="s">
        <v>1406</v>
      </c>
      <c r="C743" t="s">
        <v>557</v>
      </c>
      <c r="D743" t="s">
        <v>900</v>
      </c>
      <c r="E743" t="s">
        <v>570</v>
      </c>
      <c r="F743">
        <v>1561</v>
      </c>
      <c r="G743">
        <v>4</v>
      </c>
      <c r="H743">
        <v>1</v>
      </c>
      <c r="I743">
        <v>0</v>
      </c>
      <c r="J743">
        <v>1</v>
      </c>
      <c r="K743">
        <v>5</v>
      </c>
      <c r="L743">
        <v>0</v>
      </c>
      <c r="M743">
        <v>0</v>
      </c>
      <c r="N743">
        <v>0</v>
      </c>
    </row>
    <row r="744" spans="1:14">
      <c r="A744" t="s">
        <v>151</v>
      </c>
      <c r="B744" t="s">
        <v>1407</v>
      </c>
      <c r="C744" t="s">
        <v>557</v>
      </c>
      <c r="D744" t="s">
        <v>631</v>
      </c>
      <c r="E744" t="s">
        <v>610</v>
      </c>
      <c r="F744">
        <v>1295</v>
      </c>
      <c r="G744">
        <v>0</v>
      </c>
      <c r="H744">
        <v>0</v>
      </c>
      <c r="I744">
        <v>0</v>
      </c>
      <c r="J744">
        <v>1</v>
      </c>
      <c r="K744">
        <v>0</v>
      </c>
      <c r="L744">
        <v>0</v>
      </c>
      <c r="M744">
        <v>0</v>
      </c>
      <c r="N744">
        <v>0</v>
      </c>
    </row>
    <row r="745" spans="1:14">
      <c r="A745" t="s">
        <v>151</v>
      </c>
      <c r="B745" t="s">
        <v>1408</v>
      </c>
      <c r="C745" t="s">
        <v>575</v>
      </c>
      <c r="I745">
        <v>722</v>
      </c>
      <c r="N745">
        <v>0</v>
      </c>
    </row>
    <row r="746" spans="1:14">
      <c r="A746" t="s">
        <v>151</v>
      </c>
      <c r="B746" t="s">
        <v>1409</v>
      </c>
      <c r="C746" t="s">
        <v>575</v>
      </c>
      <c r="I746">
        <v>0</v>
      </c>
      <c r="N746">
        <v>0</v>
      </c>
    </row>
    <row r="747" spans="1:14">
      <c r="A747" t="s">
        <v>151</v>
      </c>
      <c r="B747" t="s">
        <v>1410</v>
      </c>
      <c r="C747" t="s">
        <v>557</v>
      </c>
      <c r="D747" t="s">
        <v>633</v>
      </c>
      <c r="E747" t="s">
        <v>561</v>
      </c>
      <c r="F747">
        <v>2128</v>
      </c>
      <c r="G747">
        <v>1</v>
      </c>
      <c r="H747">
        <v>2</v>
      </c>
      <c r="I747">
        <v>0</v>
      </c>
      <c r="J747">
        <v>1</v>
      </c>
      <c r="K747">
        <v>3</v>
      </c>
      <c r="L747">
        <v>0</v>
      </c>
      <c r="M747">
        <v>0</v>
      </c>
      <c r="N747">
        <v>0</v>
      </c>
    </row>
    <row r="748" spans="1:14">
      <c r="A748" t="s">
        <v>151</v>
      </c>
      <c r="B748" t="s">
        <v>1411</v>
      </c>
      <c r="C748" t="s">
        <v>557</v>
      </c>
      <c r="D748" t="s">
        <v>633</v>
      </c>
      <c r="E748" t="s">
        <v>561</v>
      </c>
      <c r="F748">
        <v>510</v>
      </c>
      <c r="G748">
        <v>0</v>
      </c>
      <c r="H748">
        <v>1</v>
      </c>
      <c r="I748">
        <v>0</v>
      </c>
      <c r="J748">
        <v>1</v>
      </c>
      <c r="K748">
        <v>1</v>
      </c>
      <c r="L748">
        <v>0</v>
      </c>
      <c r="M748">
        <v>0</v>
      </c>
      <c r="N748">
        <v>0</v>
      </c>
    </row>
    <row r="749" spans="1:14">
      <c r="A749" t="s">
        <v>151</v>
      </c>
      <c r="B749" t="s">
        <v>1412</v>
      </c>
      <c r="C749" t="s">
        <v>557</v>
      </c>
      <c r="D749" t="s">
        <v>558</v>
      </c>
      <c r="E749" t="s">
        <v>555</v>
      </c>
      <c r="F749">
        <v>586</v>
      </c>
      <c r="G749">
        <v>2</v>
      </c>
      <c r="H749">
        <v>3</v>
      </c>
      <c r="I749">
        <v>0</v>
      </c>
      <c r="J749">
        <v>1</v>
      </c>
      <c r="K749">
        <v>5</v>
      </c>
      <c r="L749">
        <v>0</v>
      </c>
      <c r="M749">
        <v>0</v>
      </c>
      <c r="N749">
        <v>0</v>
      </c>
    </row>
    <row r="750" spans="1:14">
      <c r="A750" t="s">
        <v>151</v>
      </c>
      <c r="B750" t="s">
        <v>1413</v>
      </c>
      <c r="C750" t="s">
        <v>553</v>
      </c>
      <c r="I750">
        <v>0</v>
      </c>
      <c r="N750">
        <v>0</v>
      </c>
    </row>
    <row r="751" spans="1:14">
      <c r="A751" t="s">
        <v>151</v>
      </c>
      <c r="B751" t="s">
        <v>1414</v>
      </c>
      <c r="C751" t="s">
        <v>575</v>
      </c>
      <c r="D751" t="s">
        <v>1219</v>
      </c>
      <c r="E751" t="s">
        <v>561</v>
      </c>
      <c r="F751">
        <v>1818</v>
      </c>
      <c r="G751">
        <v>3</v>
      </c>
      <c r="H751">
        <v>1</v>
      </c>
      <c r="I751">
        <v>0</v>
      </c>
      <c r="J751">
        <v>1</v>
      </c>
      <c r="K751">
        <v>4</v>
      </c>
      <c r="L751">
        <v>1</v>
      </c>
      <c r="M751">
        <v>0.19800000000000001</v>
      </c>
      <c r="N751">
        <v>0</v>
      </c>
    </row>
    <row r="752" spans="1:14">
      <c r="A752" t="s">
        <v>151</v>
      </c>
      <c r="B752" t="s">
        <v>1415</v>
      </c>
      <c r="C752" t="s">
        <v>553</v>
      </c>
      <c r="I752">
        <v>0</v>
      </c>
      <c r="N752">
        <v>0</v>
      </c>
    </row>
    <row r="753" spans="1:14">
      <c r="A753" t="s">
        <v>151</v>
      </c>
      <c r="B753" t="s">
        <v>1416</v>
      </c>
      <c r="C753" t="s">
        <v>553</v>
      </c>
      <c r="I753">
        <v>0</v>
      </c>
      <c r="N753">
        <v>0</v>
      </c>
    </row>
    <row r="754" spans="1:14">
      <c r="A754" t="s">
        <v>151</v>
      </c>
      <c r="B754" t="s">
        <v>1417</v>
      </c>
      <c r="C754" t="s">
        <v>572</v>
      </c>
      <c r="I754">
        <v>0</v>
      </c>
      <c r="N754">
        <v>0</v>
      </c>
    </row>
    <row r="755" spans="1:14">
      <c r="A755" t="s">
        <v>151</v>
      </c>
      <c r="B755" t="s">
        <v>1418</v>
      </c>
      <c r="C755" t="s">
        <v>572</v>
      </c>
      <c r="I755">
        <v>0</v>
      </c>
      <c r="N755">
        <v>0</v>
      </c>
    </row>
    <row r="756" spans="1:14">
      <c r="A756" t="s">
        <v>124</v>
      </c>
      <c r="B756" t="s">
        <v>1419</v>
      </c>
      <c r="C756" t="s">
        <v>553</v>
      </c>
      <c r="D756" t="s">
        <v>616</v>
      </c>
      <c r="E756" t="s">
        <v>566</v>
      </c>
      <c r="F756">
        <v>1325</v>
      </c>
      <c r="G756">
        <v>3</v>
      </c>
      <c r="H756">
        <v>1</v>
      </c>
      <c r="I756">
        <v>341</v>
      </c>
      <c r="J756">
        <v>1</v>
      </c>
      <c r="K756">
        <v>4</v>
      </c>
      <c r="L756">
        <v>0</v>
      </c>
      <c r="M756">
        <v>0</v>
      </c>
      <c r="N756">
        <v>1</v>
      </c>
    </row>
    <row r="757" spans="1:14">
      <c r="A757" t="s">
        <v>124</v>
      </c>
      <c r="B757" t="s">
        <v>1420</v>
      </c>
      <c r="C757" t="s">
        <v>553</v>
      </c>
      <c r="D757" t="s">
        <v>713</v>
      </c>
      <c r="E757" t="s">
        <v>570</v>
      </c>
      <c r="F757">
        <v>3210</v>
      </c>
      <c r="G757">
        <v>3</v>
      </c>
      <c r="H757">
        <v>3</v>
      </c>
      <c r="I757">
        <v>0</v>
      </c>
      <c r="J757">
        <v>1</v>
      </c>
      <c r="K757">
        <v>6</v>
      </c>
      <c r="L757">
        <v>0</v>
      </c>
      <c r="M757">
        <v>0</v>
      </c>
      <c r="N757">
        <v>0</v>
      </c>
    </row>
    <row r="758" spans="1:14">
      <c r="A758" t="s">
        <v>124</v>
      </c>
      <c r="B758" t="s">
        <v>1421</v>
      </c>
      <c r="C758" t="s">
        <v>553</v>
      </c>
      <c r="D758" t="s">
        <v>599</v>
      </c>
      <c r="E758" t="s">
        <v>570</v>
      </c>
      <c r="F758">
        <v>3420</v>
      </c>
      <c r="G758">
        <v>6</v>
      </c>
      <c r="H758">
        <v>0</v>
      </c>
      <c r="I758">
        <v>1080</v>
      </c>
      <c r="J758">
        <v>1</v>
      </c>
      <c r="K758">
        <v>6</v>
      </c>
      <c r="L758">
        <v>0</v>
      </c>
      <c r="M758">
        <v>0</v>
      </c>
      <c r="N758">
        <v>1</v>
      </c>
    </row>
    <row r="759" spans="1:14">
      <c r="A759" t="s">
        <v>124</v>
      </c>
      <c r="B759" t="s">
        <v>1422</v>
      </c>
      <c r="C759" t="s">
        <v>572</v>
      </c>
      <c r="D759" t="s">
        <v>713</v>
      </c>
      <c r="E759" t="s">
        <v>570</v>
      </c>
      <c r="F759">
        <v>3420</v>
      </c>
      <c r="G759">
        <v>0</v>
      </c>
      <c r="H759">
        <v>0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0</v>
      </c>
    </row>
    <row r="760" spans="1:14">
      <c r="A760" t="s">
        <v>124</v>
      </c>
      <c r="B760" t="s">
        <v>1423</v>
      </c>
      <c r="C760" t="s">
        <v>575</v>
      </c>
      <c r="D760" t="s">
        <v>599</v>
      </c>
      <c r="E760" t="s">
        <v>570</v>
      </c>
      <c r="F760">
        <v>2737</v>
      </c>
      <c r="G760">
        <v>7</v>
      </c>
      <c r="H760">
        <v>5</v>
      </c>
      <c r="I760">
        <v>471</v>
      </c>
      <c r="J760">
        <v>1</v>
      </c>
      <c r="K760">
        <v>12</v>
      </c>
      <c r="L760">
        <v>1</v>
      </c>
      <c r="M760">
        <v>0.39460000000000001</v>
      </c>
      <c r="N760">
        <v>0</v>
      </c>
    </row>
    <row r="761" spans="1:14">
      <c r="A761" t="s">
        <v>124</v>
      </c>
      <c r="B761" t="s">
        <v>1424</v>
      </c>
      <c r="C761" t="s">
        <v>557</v>
      </c>
      <c r="D761" t="s">
        <v>599</v>
      </c>
      <c r="E761" t="s">
        <v>570</v>
      </c>
      <c r="F761">
        <v>2992</v>
      </c>
      <c r="G761">
        <v>5</v>
      </c>
      <c r="H761">
        <v>3</v>
      </c>
      <c r="I761">
        <v>959</v>
      </c>
      <c r="J761">
        <v>1</v>
      </c>
      <c r="K761">
        <v>8</v>
      </c>
      <c r="L761">
        <v>0</v>
      </c>
      <c r="M761">
        <v>0</v>
      </c>
      <c r="N761">
        <v>0</v>
      </c>
    </row>
    <row r="762" spans="1:14">
      <c r="A762" t="s">
        <v>124</v>
      </c>
      <c r="B762" t="s">
        <v>1425</v>
      </c>
      <c r="C762" t="s">
        <v>557</v>
      </c>
      <c r="D762" t="s">
        <v>783</v>
      </c>
      <c r="E762" t="s">
        <v>610</v>
      </c>
      <c r="F762">
        <v>1636</v>
      </c>
      <c r="G762">
        <v>1</v>
      </c>
      <c r="H762">
        <v>5</v>
      </c>
      <c r="I762">
        <v>517</v>
      </c>
      <c r="J762">
        <v>1</v>
      </c>
      <c r="K762">
        <v>6</v>
      </c>
      <c r="L762">
        <v>0</v>
      </c>
      <c r="M762">
        <v>0</v>
      </c>
      <c r="N762">
        <v>0</v>
      </c>
    </row>
    <row r="763" spans="1:14">
      <c r="A763" t="s">
        <v>124</v>
      </c>
      <c r="B763" t="s">
        <v>1426</v>
      </c>
      <c r="C763" t="s">
        <v>553</v>
      </c>
      <c r="D763" t="s">
        <v>606</v>
      </c>
      <c r="E763" t="s">
        <v>570</v>
      </c>
      <c r="F763">
        <v>3041</v>
      </c>
      <c r="G763">
        <v>4</v>
      </c>
      <c r="H763">
        <v>1</v>
      </c>
      <c r="I763">
        <v>720</v>
      </c>
      <c r="J763">
        <v>1</v>
      </c>
      <c r="K763">
        <v>5</v>
      </c>
      <c r="L763">
        <v>0</v>
      </c>
      <c r="M763">
        <v>0</v>
      </c>
      <c r="N763">
        <v>1</v>
      </c>
    </row>
    <row r="764" spans="1:14">
      <c r="A764" t="s">
        <v>124</v>
      </c>
      <c r="B764" t="s">
        <v>1427</v>
      </c>
      <c r="C764" t="s">
        <v>575</v>
      </c>
      <c r="D764" t="s">
        <v>900</v>
      </c>
      <c r="E764" t="s">
        <v>570</v>
      </c>
      <c r="F764">
        <v>1927</v>
      </c>
      <c r="G764">
        <v>7</v>
      </c>
      <c r="H764">
        <v>1</v>
      </c>
      <c r="I764">
        <v>0</v>
      </c>
      <c r="J764">
        <v>1</v>
      </c>
      <c r="K764">
        <v>8</v>
      </c>
      <c r="L764">
        <v>1</v>
      </c>
      <c r="M764">
        <v>0.37359999999999999</v>
      </c>
      <c r="N764">
        <v>0</v>
      </c>
    </row>
    <row r="765" spans="1:14">
      <c r="A765" t="s">
        <v>124</v>
      </c>
      <c r="B765" t="s">
        <v>1428</v>
      </c>
      <c r="C765" t="s">
        <v>557</v>
      </c>
      <c r="D765" t="s">
        <v>569</v>
      </c>
      <c r="E765" t="s">
        <v>570</v>
      </c>
      <c r="F765">
        <v>1631</v>
      </c>
      <c r="G765">
        <v>5</v>
      </c>
      <c r="H765">
        <v>2</v>
      </c>
      <c r="I765">
        <v>580</v>
      </c>
      <c r="J765">
        <v>1</v>
      </c>
      <c r="K765">
        <v>7</v>
      </c>
      <c r="L765">
        <v>0</v>
      </c>
      <c r="M765">
        <v>0</v>
      </c>
      <c r="N765">
        <v>0</v>
      </c>
    </row>
    <row r="766" spans="1:14">
      <c r="A766" t="s">
        <v>124</v>
      </c>
      <c r="B766" t="s">
        <v>1429</v>
      </c>
      <c r="C766" t="s">
        <v>575</v>
      </c>
      <c r="D766" t="s">
        <v>1430</v>
      </c>
      <c r="E766" t="s">
        <v>1431</v>
      </c>
      <c r="F766">
        <v>2123</v>
      </c>
      <c r="G766">
        <v>15</v>
      </c>
      <c r="H766">
        <v>3</v>
      </c>
      <c r="I766">
        <v>0</v>
      </c>
      <c r="J766">
        <v>1</v>
      </c>
      <c r="K766">
        <v>18</v>
      </c>
      <c r="L766">
        <v>1</v>
      </c>
      <c r="M766">
        <v>0.7631</v>
      </c>
      <c r="N766">
        <v>0</v>
      </c>
    </row>
    <row r="767" spans="1:14">
      <c r="A767" t="s">
        <v>124</v>
      </c>
      <c r="B767" t="s">
        <v>1432</v>
      </c>
      <c r="C767" t="s">
        <v>575</v>
      </c>
      <c r="D767" t="s">
        <v>780</v>
      </c>
      <c r="E767" t="s">
        <v>570</v>
      </c>
      <c r="F767">
        <v>2470</v>
      </c>
      <c r="G767">
        <v>5</v>
      </c>
      <c r="H767">
        <v>2</v>
      </c>
      <c r="I767">
        <v>0</v>
      </c>
      <c r="J767">
        <v>1</v>
      </c>
      <c r="K767">
        <v>7</v>
      </c>
      <c r="L767">
        <v>1</v>
      </c>
      <c r="M767">
        <v>0.25509999999999999</v>
      </c>
      <c r="N767">
        <v>0</v>
      </c>
    </row>
    <row r="768" spans="1:14">
      <c r="A768" t="s">
        <v>124</v>
      </c>
      <c r="B768" t="s">
        <v>1433</v>
      </c>
      <c r="C768" t="s">
        <v>553</v>
      </c>
      <c r="D768" t="s">
        <v>569</v>
      </c>
      <c r="E768" t="s">
        <v>570</v>
      </c>
      <c r="F768">
        <v>695</v>
      </c>
      <c r="G768">
        <v>0</v>
      </c>
      <c r="H768">
        <v>0</v>
      </c>
      <c r="I768">
        <v>240</v>
      </c>
      <c r="J768">
        <v>1</v>
      </c>
      <c r="K768">
        <v>0</v>
      </c>
      <c r="L768">
        <v>0</v>
      </c>
      <c r="M768">
        <v>0</v>
      </c>
      <c r="N768">
        <v>1</v>
      </c>
    </row>
    <row r="769" spans="1:14">
      <c r="A769" t="s">
        <v>124</v>
      </c>
      <c r="B769" t="s">
        <v>1434</v>
      </c>
      <c r="C769" t="s">
        <v>553</v>
      </c>
      <c r="D769" t="s">
        <v>798</v>
      </c>
      <c r="E769" t="s">
        <v>566</v>
      </c>
      <c r="F769">
        <v>1827</v>
      </c>
      <c r="G769">
        <v>0</v>
      </c>
      <c r="H769">
        <v>0</v>
      </c>
      <c r="I769">
        <v>742</v>
      </c>
      <c r="J769">
        <v>1</v>
      </c>
      <c r="K769">
        <v>0</v>
      </c>
      <c r="L769">
        <v>0</v>
      </c>
      <c r="M769">
        <v>0</v>
      </c>
      <c r="N769">
        <v>1</v>
      </c>
    </row>
    <row r="770" spans="1:14">
      <c r="A770" t="s">
        <v>124</v>
      </c>
      <c r="B770" t="s">
        <v>1435</v>
      </c>
      <c r="C770" t="s">
        <v>557</v>
      </c>
      <c r="D770" t="s">
        <v>576</v>
      </c>
      <c r="E770" t="s">
        <v>561</v>
      </c>
      <c r="F770">
        <v>1105</v>
      </c>
      <c r="G770">
        <v>0</v>
      </c>
      <c r="H770">
        <v>0</v>
      </c>
      <c r="I770">
        <v>0</v>
      </c>
      <c r="J770">
        <v>1</v>
      </c>
      <c r="K770">
        <v>0</v>
      </c>
      <c r="L770">
        <v>0</v>
      </c>
      <c r="M770">
        <v>0</v>
      </c>
      <c r="N770">
        <v>0</v>
      </c>
    </row>
    <row r="771" spans="1:14">
      <c r="A771" t="s">
        <v>124</v>
      </c>
      <c r="B771" t="s">
        <v>1436</v>
      </c>
      <c r="C771" t="s">
        <v>575</v>
      </c>
      <c r="I771">
        <v>0</v>
      </c>
      <c r="N771">
        <v>0</v>
      </c>
    </row>
    <row r="772" spans="1:14">
      <c r="A772" t="s">
        <v>124</v>
      </c>
      <c r="B772" t="s">
        <v>1437</v>
      </c>
      <c r="C772" t="s">
        <v>575</v>
      </c>
      <c r="I772">
        <v>298</v>
      </c>
      <c r="N772">
        <v>0</v>
      </c>
    </row>
    <row r="773" spans="1:14">
      <c r="A773" t="s">
        <v>124</v>
      </c>
      <c r="B773" t="s">
        <v>1438</v>
      </c>
      <c r="C773" t="s">
        <v>553</v>
      </c>
      <c r="D773" t="s">
        <v>602</v>
      </c>
      <c r="E773" t="s">
        <v>570</v>
      </c>
      <c r="F773">
        <v>1148</v>
      </c>
      <c r="G773">
        <v>0</v>
      </c>
      <c r="H773">
        <v>0</v>
      </c>
      <c r="I773">
        <v>339</v>
      </c>
      <c r="J773">
        <v>1</v>
      </c>
      <c r="K773">
        <v>0</v>
      </c>
      <c r="L773">
        <v>0</v>
      </c>
      <c r="M773">
        <v>0</v>
      </c>
      <c r="N773">
        <v>1</v>
      </c>
    </row>
    <row r="774" spans="1:14">
      <c r="A774" t="s">
        <v>124</v>
      </c>
      <c r="B774" t="s">
        <v>1439</v>
      </c>
      <c r="C774" t="s">
        <v>575</v>
      </c>
      <c r="I774">
        <v>578</v>
      </c>
      <c r="N774">
        <v>0</v>
      </c>
    </row>
    <row r="775" spans="1:14">
      <c r="A775" t="s">
        <v>124</v>
      </c>
      <c r="B775" t="s">
        <v>1440</v>
      </c>
      <c r="C775" t="s">
        <v>575</v>
      </c>
      <c r="D775" t="s">
        <v>626</v>
      </c>
      <c r="E775" t="s">
        <v>570</v>
      </c>
      <c r="F775">
        <v>952</v>
      </c>
      <c r="G775">
        <v>2</v>
      </c>
      <c r="H775">
        <v>0</v>
      </c>
      <c r="I775">
        <v>0</v>
      </c>
      <c r="J775">
        <v>1</v>
      </c>
      <c r="K775">
        <v>2</v>
      </c>
      <c r="L775">
        <v>1</v>
      </c>
      <c r="M775">
        <v>0.18909999999999999</v>
      </c>
      <c r="N775">
        <v>0</v>
      </c>
    </row>
    <row r="776" spans="1:14">
      <c r="A776" t="s">
        <v>124</v>
      </c>
      <c r="B776" t="s">
        <v>1441</v>
      </c>
      <c r="C776" t="s">
        <v>553</v>
      </c>
      <c r="D776" t="s">
        <v>717</v>
      </c>
      <c r="E776" t="s">
        <v>566</v>
      </c>
      <c r="F776">
        <v>2691</v>
      </c>
      <c r="G776">
        <v>1</v>
      </c>
      <c r="H776">
        <v>2</v>
      </c>
      <c r="I776">
        <v>900</v>
      </c>
      <c r="J776">
        <v>1</v>
      </c>
      <c r="K776">
        <v>3</v>
      </c>
      <c r="L776">
        <v>0</v>
      </c>
      <c r="M776">
        <v>0</v>
      </c>
      <c r="N776">
        <v>1</v>
      </c>
    </row>
    <row r="777" spans="1:14">
      <c r="A777" t="s">
        <v>124</v>
      </c>
      <c r="B777" t="s">
        <v>1442</v>
      </c>
      <c r="C777" t="s">
        <v>575</v>
      </c>
      <c r="D777" t="s">
        <v>715</v>
      </c>
      <c r="E777" t="s">
        <v>566</v>
      </c>
      <c r="F777">
        <v>666</v>
      </c>
      <c r="G777">
        <v>1</v>
      </c>
      <c r="H777">
        <v>2</v>
      </c>
      <c r="I777">
        <v>498</v>
      </c>
      <c r="J777">
        <v>1</v>
      </c>
      <c r="K777">
        <v>3</v>
      </c>
      <c r="L777">
        <v>0</v>
      </c>
      <c r="M777">
        <v>0</v>
      </c>
      <c r="N777">
        <v>0</v>
      </c>
    </row>
    <row r="778" spans="1:14">
      <c r="A778" t="s">
        <v>124</v>
      </c>
      <c r="B778" t="s">
        <v>1443</v>
      </c>
      <c r="C778" t="s">
        <v>572</v>
      </c>
      <c r="D778" t="s">
        <v>563</v>
      </c>
      <c r="E778" t="s">
        <v>555</v>
      </c>
      <c r="F778">
        <v>2129</v>
      </c>
      <c r="G778">
        <v>0</v>
      </c>
      <c r="H778">
        <v>0</v>
      </c>
      <c r="I778">
        <v>540</v>
      </c>
      <c r="J778">
        <v>1</v>
      </c>
      <c r="K778">
        <v>0</v>
      </c>
      <c r="L778">
        <v>0</v>
      </c>
      <c r="M778">
        <v>0</v>
      </c>
      <c r="N778">
        <v>1</v>
      </c>
    </row>
    <row r="779" spans="1:14">
      <c r="A779" t="s">
        <v>124</v>
      </c>
      <c r="B779" t="s">
        <v>1444</v>
      </c>
      <c r="C779" t="s">
        <v>553</v>
      </c>
      <c r="D779" t="s">
        <v>900</v>
      </c>
      <c r="E779" t="s">
        <v>570</v>
      </c>
      <c r="F779">
        <v>1693</v>
      </c>
      <c r="G779">
        <v>0</v>
      </c>
      <c r="H779">
        <v>0</v>
      </c>
      <c r="I779">
        <v>0</v>
      </c>
      <c r="J779">
        <v>1</v>
      </c>
      <c r="K779">
        <v>0</v>
      </c>
      <c r="L779">
        <v>0</v>
      </c>
      <c r="M779">
        <v>0</v>
      </c>
      <c r="N779">
        <v>0</v>
      </c>
    </row>
    <row r="780" spans="1:14">
      <c r="A780" t="s">
        <v>124</v>
      </c>
      <c r="B780" t="s">
        <v>1445</v>
      </c>
      <c r="C780" t="s">
        <v>572</v>
      </c>
      <c r="D780" t="s">
        <v>900</v>
      </c>
      <c r="E780" t="s">
        <v>570</v>
      </c>
      <c r="F780">
        <v>3150</v>
      </c>
      <c r="G780">
        <v>0</v>
      </c>
      <c r="H780">
        <v>0</v>
      </c>
      <c r="I780">
        <v>0</v>
      </c>
      <c r="J780">
        <v>1</v>
      </c>
      <c r="K780">
        <v>0</v>
      </c>
      <c r="L780">
        <v>0</v>
      </c>
      <c r="M780">
        <v>0</v>
      </c>
      <c r="N780">
        <v>0</v>
      </c>
    </row>
    <row r="781" spans="1:14">
      <c r="A781" t="s">
        <v>124</v>
      </c>
      <c r="B781" t="s">
        <v>1446</v>
      </c>
      <c r="C781" t="s">
        <v>553</v>
      </c>
      <c r="D781" t="s">
        <v>713</v>
      </c>
      <c r="E781" t="s">
        <v>570</v>
      </c>
      <c r="F781">
        <v>1903</v>
      </c>
      <c r="G781">
        <v>2</v>
      </c>
      <c r="H781">
        <v>3</v>
      </c>
      <c r="I781">
        <v>0</v>
      </c>
      <c r="J781">
        <v>1</v>
      </c>
      <c r="K781">
        <v>5</v>
      </c>
      <c r="L781">
        <v>0</v>
      </c>
      <c r="M781">
        <v>0</v>
      </c>
      <c r="N781">
        <v>0</v>
      </c>
    </row>
    <row r="782" spans="1:14">
      <c r="A782" t="s">
        <v>146</v>
      </c>
      <c r="B782" t="s">
        <v>1447</v>
      </c>
      <c r="C782" t="s">
        <v>572</v>
      </c>
      <c r="I782">
        <v>0</v>
      </c>
      <c r="N782">
        <v>0</v>
      </c>
    </row>
    <row r="783" spans="1:14">
      <c r="A783" t="s">
        <v>146</v>
      </c>
      <c r="B783" t="s">
        <v>1448</v>
      </c>
      <c r="C783" t="s">
        <v>553</v>
      </c>
      <c r="I783">
        <v>0</v>
      </c>
      <c r="N783">
        <v>0</v>
      </c>
    </row>
    <row r="784" spans="1:14">
      <c r="A784" t="s">
        <v>146</v>
      </c>
      <c r="B784" t="s">
        <v>1449</v>
      </c>
      <c r="C784" t="s">
        <v>575</v>
      </c>
      <c r="D784" t="s">
        <v>926</v>
      </c>
      <c r="E784" t="s">
        <v>570</v>
      </c>
      <c r="F784">
        <v>901</v>
      </c>
      <c r="G784">
        <v>3</v>
      </c>
      <c r="H784">
        <v>0</v>
      </c>
      <c r="I784">
        <v>0</v>
      </c>
      <c r="J784">
        <v>1</v>
      </c>
      <c r="K784">
        <v>3</v>
      </c>
      <c r="L784">
        <v>1</v>
      </c>
      <c r="M784">
        <v>0.29970000000000002</v>
      </c>
      <c r="N784">
        <v>0</v>
      </c>
    </row>
    <row r="785" spans="1:14">
      <c r="A785" t="s">
        <v>146</v>
      </c>
      <c r="B785" t="s">
        <v>1450</v>
      </c>
      <c r="C785" t="s">
        <v>557</v>
      </c>
      <c r="I785">
        <v>0</v>
      </c>
      <c r="N785">
        <v>0</v>
      </c>
    </row>
    <row r="786" spans="1:14">
      <c r="A786" t="s">
        <v>146</v>
      </c>
      <c r="B786" t="s">
        <v>1451</v>
      </c>
      <c r="C786" t="s">
        <v>557</v>
      </c>
      <c r="I786">
        <v>0</v>
      </c>
      <c r="N786">
        <v>0</v>
      </c>
    </row>
    <row r="787" spans="1:14">
      <c r="A787" t="s">
        <v>146</v>
      </c>
      <c r="B787" t="s">
        <v>1452</v>
      </c>
      <c r="C787" t="s">
        <v>557</v>
      </c>
      <c r="I787">
        <v>0</v>
      </c>
      <c r="N787">
        <v>0</v>
      </c>
    </row>
    <row r="788" spans="1:14">
      <c r="A788" t="s">
        <v>146</v>
      </c>
      <c r="B788" t="s">
        <v>1453</v>
      </c>
      <c r="C788" t="s">
        <v>553</v>
      </c>
      <c r="I788">
        <v>0</v>
      </c>
      <c r="N788">
        <v>0</v>
      </c>
    </row>
    <row r="789" spans="1:14">
      <c r="A789" t="s">
        <v>146</v>
      </c>
      <c r="B789" t="s">
        <v>1454</v>
      </c>
      <c r="C789" t="s">
        <v>553</v>
      </c>
      <c r="I789">
        <v>0</v>
      </c>
      <c r="N789">
        <v>0</v>
      </c>
    </row>
    <row r="790" spans="1:14">
      <c r="A790" t="s">
        <v>146</v>
      </c>
      <c r="B790" t="s">
        <v>1455</v>
      </c>
      <c r="C790" t="s">
        <v>557</v>
      </c>
      <c r="I790">
        <v>0</v>
      </c>
      <c r="N790">
        <v>0</v>
      </c>
    </row>
    <row r="791" spans="1:14">
      <c r="A791" t="s">
        <v>146</v>
      </c>
      <c r="B791" t="s">
        <v>1456</v>
      </c>
      <c r="C791" t="s">
        <v>553</v>
      </c>
      <c r="I791">
        <v>0</v>
      </c>
      <c r="N791">
        <v>0</v>
      </c>
    </row>
    <row r="792" spans="1:14">
      <c r="A792" t="s">
        <v>146</v>
      </c>
      <c r="B792" t="s">
        <v>1457</v>
      </c>
      <c r="C792" t="s">
        <v>557</v>
      </c>
      <c r="I792">
        <v>0</v>
      </c>
      <c r="N792">
        <v>0</v>
      </c>
    </row>
    <row r="793" spans="1:14">
      <c r="A793" t="s">
        <v>146</v>
      </c>
      <c r="B793" t="s">
        <v>1458</v>
      </c>
      <c r="C793" t="s">
        <v>553</v>
      </c>
      <c r="I793">
        <v>0</v>
      </c>
      <c r="N793">
        <v>0</v>
      </c>
    </row>
    <row r="794" spans="1:14">
      <c r="A794" t="s">
        <v>146</v>
      </c>
      <c r="B794" t="s">
        <v>1459</v>
      </c>
      <c r="C794" t="s">
        <v>557</v>
      </c>
      <c r="I794">
        <v>0</v>
      </c>
      <c r="N794">
        <v>0</v>
      </c>
    </row>
    <row r="795" spans="1:14">
      <c r="A795" t="s">
        <v>146</v>
      </c>
      <c r="B795" t="s">
        <v>1460</v>
      </c>
      <c r="C795" t="s">
        <v>557</v>
      </c>
      <c r="I795">
        <v>0</v>
      </c>
      <c r="N795">
        <v>0</v>
      </c>
    </row>
    <row r="796" spans="1:14">
      <c r="A796" t="s">
        <v>146</v>
      </c>
      <c r="B796" t="s">
        <v>1461</v>
      </c>
      <c r="C796" t="s">
        <v>557</v>
      </c>
      <c r="I796">
        <v>0</v>
      </c>
      <c r="N796">
        <v>0</v>
      </c>
    </row>
    <row r="797" spans="1:14">
      <c r="A797" t="s">
        <v>146</v>
      </c>
      <c r="B797" t="s">
        <v>1462</v>
      </c>
      <c r="C797" t="s">
        <v>553</v>
      </c>
      <c r="I797">
        <v>0</v>
      </c>
      <c r="N797">
        <v>0</v>
      </c>
    </row>
    <row r="798" spans="1:14">
      <c r="A798" t="s">
        <v>146</v>
      </c>
      <c r="B798" t="s">
        <v>1463</v>
      </c>
      <c r="C798" t="s">
        <v>553</v>
      </c>
      <c r="I798">
        <v>0</v>
      </c>
      <c r="N798">
        <v>0</v>
      </c>
    </row>
    <row r="799" spans="1:14">
      <c r="A799" t="s">
        <v>146</v>
      </c>
      <c r="B799" t="s">
        <v>1464</v>
      </c>
      <c r="C799" t="s">
        <v>575</v>
      </c>
      <c r="I799">
        <v>0</v>
      </c>
      <c r="N799">
        <v>0</v>
      </c>
    </row>
    <row r="800" spans="1:14">
      <c r="A800" t="s">
        <v>146</v>
      </c>
      <c r="B800" t="s">
        <v>1465</v>
      </c>
      <c r="C800" t="s">
        <v>557</v>
      </c>
      <c r="I800">
        <v>0</v>
      </c>
      <c r="N800">
        <v>0</v>
      </c>
    </row>
    <row r="801" spans="1:14">
      <c r="A801" t="s">
        <v>146</v>
      </c>
      <c r="B801" t="s">
        <v>1466</v>
      </c>
      <c r="C801" t="s">
        <v>572</v>
      </c>
      <c r="I801">
        <v>0</v>
      </c>
      <c r="N801">
        <v>0</v>
      </c>
    </row>
    <row r="802" spans="1:14">
      <c r="A802" t="s">
        <v>146</v>
      </c>
      <c r="B802" t="s">
        <v>1467</v>
      </c>
      <c r="C802" t="s">
        <v>553</v>
      </c>
      <c r="I802">
        <v>0</v>
      </c>
      <c r="N802">
        <v>0</v>
      </c>
    </row>
    <row r="803" spans="1:14">
      <c r="A803" t="s">
        <v>146</v>
      </c>
      <c r="B803" t="s">
        <v>1468</v>
      </c>
      <c r="C803" t="s">
        <v>575</v>
      </c>
      <c r="I803">
        <v>0</v>
      </c>
      <c r="N803">
        <v>0</v>
      </c>
    </row>
    <row r="804" spans="1:14">
      <c r="A804" t="s">
        <v>146</v>
      </c>
      <c r="B804" t="s">
        <v>1469</v>
      </c>
      <c r="C804" t="s">
        <v>557</v>
      </c>
      <c r="I804">
        <v>0</v>
      </c>
      <c r="N804">
        <v>0</v>
      </c>
    </row>
    <row r="805" spans="1:14">
      <c r="A805" t="s">
        <v>146</v>
      </c>
      <c r="B805" t="s">
        <v>1470</v>
      </c>
      <c r="C805" t="s">
        <v>553</v>
      </c>
      <c r="I805">
        <v>0</v>
      </c>
      <c r="N805">
        <v>0</v>
      </c>
    </row>
    <row r="806" spans="1:14">
      <c r="A806" t="s">
        <v>146</v>
      </c>
      <c r="B806" t="s">
        <v>1471</v>
      </c>
      <c r="C806" t="s">
        <v>575</v>
      </c>
      <c r="I806">
        <v>0</v>
      </c>
      <c r="N806">
        <v>0</v>
      </c>
    </row>
    <row r="807" spans="1:14">
      <c r="A807" t="s">
        <v>146</v>
      </c>
      <c r="B807" t="s">
        <v>1472</v>
      </c>
      <c r="C807" t="s">
        <v>572</v>
      </c>
      <c r="I807">
        <v>0</v>
      </c>
      <c r="N807">
        <v>0</v>
      </c>
    </row>
    <row r="808" spans="1:14">
      <c r="A808" t="s">
        <v>147</v>
      </c>
      <c r="B808" t="s">
        <v>1473</v>
      </c>
      <c r="C808" t="s">
        <v>553</v>
      </c>
      <c r="D808" t="s">
        <v>786</v>
      </c>
      <c r="E808" t="s">
        <v>570</v>
      </c>
      <c r="F808">
        <v>1810</v>
      </c>
      <c r="G808">
        <v>0</v>
      </c>
      <c r="H808">
        <v>1</v>
      </c>
      <c r="I808">
        <v>0</v>
      </c>
      <c r="J808">
        <v>1</v>
      </c>
      <c r="K808">
        <v>1</v>
      </c>
      <c r="L808">
        <v>0</v>
      </c>
      <c r="M808">
        <v>0</v>
      </c>
      <c r="N808">
        <v>0</v>
      </c>
    </row>
    <row r="809" spans="1:14">
      <c r="A809" t="s">
        <v>147</v>
      </c>
      <c r="B809" t="s">
        <v>1474</v>
      </c>
      <c r="C809" t="s">
        <v>557</v>
      </c>
      <c r="D809" t="s">
        <v>710</v>
      </c>
      <c r="E809" t="s">
        <v>570</v>
      </c>
      <c r="F809">
        <v>2905</v>
      </c>
      <c r="G809">
        <v>0</v>
      </c>
      <c r="H809">
        <v>1</v>
      </c>
      <c r="I809">
        <v>0</v>
      </c>
      <c r="J809">
        <v>1</v>
      </c>
      <c r="K809">
        <v>1</v>
      </c>
      <c r="L809">
        <v>0</v>
      </c>
      <c r="M809">
        <v>0</v>
      </c>
      <c r="N809">
        <v>0</v>
      </c>
    </row>
    <row r="810" spans="1:14">
      <c r="A810" t="s">
        <v>147</v>
      </c>
      <c r="B810" t="s">
        <v>1475</v>
      </c>
      <c r="C810" t="s">
        <v>572</v>
      </c>
      <c r="D810" t="s">
        <v>727</v>
      </c>
      <c r="E810" t="s">
        <v>610</v>
      </c>
      <c r="F810">
        <v>450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</row>
    <row r="811" spans="1:14">
      <c r="A811" t="s">
        <v>147</v>
      </c>
      <c r="B811" t="s">
        <v>1476</v>
      </c>
      <c r="C811" t="s">
        <v>557</v>
      </c>
      <c r="D811" t="s">
        <v>708</v>
      </c>
      <c r="E811" t="s">
        <v>570</v>
      </c>
      <c r="F811">
        <v>1369</v>
      </c>
      <c r="G811">
        <v>1</v>
      </c>
      <c r="H811">
        <v>6</v>
      </c>
      <c r="I811">
        <v>438</v>
      </c>
      <c r="J811">
        <v>1</v>
      </c>
      <c r="K811">
        <v>7</v>
      </c>
      <c r="L811">
        <v>0</v>
      </c>
      <c r="M811">
        <v>0</v>
      </c>
      <c r="N811">
        <v>0</v>
      </c>
    </row>
    <row r="812" spans="1:14">
      <c r="A812" t="s">
        <v>147</v>
      </c>
      <c r="B812" t="s">
        <v>1477</v>
      </c>
      <c r="C812" t="s">
        <v>575</v>
      </c>
      <c r="D812" t="s">
        <v>569</v>
      </c>
      <c r="E812" t="s">
        <v>570</v>
      </c>
      <c r="F812">
        <v>2953</v>
      </c>
      <c r="G812">
        <v>24</v>
      </c>
      <c r="H812">
        <v>8</v>
      </c>
      <c r="I812">
        <v>751</v>
      </c>
      <c r="J812">
        <v>1</v>
      </c>
      <c r="K812">
        <v>32</v>
      </c>
      <c r="L812">
        <v>1</v>
      </c>
      <c r="M812">
        <v>0.97529999999999994</v>
      </c>
      <c r="N812">
        <v>0</v>
      </c>
    </row>
    <row r="813" spans="1:14">
      <c r="A813" t="s">
        <v>147</v>
      </c>
      <c r="B813" t="s">
        <v>1478</v>
      </c>
      <c r="C813" t="s">
        <v>553</v>
      </c>
      <c r="D813" t="s">
        <v>859</v>
      </c>
      <c r="E813" t="s">
        <v>566</v>
      </c>
      <c r="F813">
        <v>2113</v>
      </c>
      <c r="G813">
        <v>0</v>
      </c>
      <c r="H813">
        <v>0</v>
      </c>
      <c r="I813">
        <v>0</v>
      </c>
      <c r="J813">
        <v>1</v>
      </c>
      <c r="K813">
        <v>0</v>
      </c>
      <c r="L813">
        <v>0</v>
      </c>
      <c r="M813">
        <v>0</v>
      </c>
      <c r="N813">
        <v>0</v>
      </c>
    </row>
    <row r="814" spans="1:14">
      <c r="A814" t="s">
        <v>147</v>
      </c>
      <c r="B814" t="s">
        <v>1479</v>
      </c>
      <c r="C814" t="s">
        <v>553</v>
      </c>
      <c r="D814" t="s">
        <v>691</v>
      </c>
      <c r="E814" t="s">
        <v>570</v>
      </c>
      <c r="F814">
        <v>1049</v>
      </c>
      <c r="G814">
        <v>0</v>
      </c>
      <c r="H814">
        <v>2</v>
      </c>
      <c r="I814">
        <v>0</v>
      </c>
      <c r="J814">
        <v>1</v>
      </c>
      <c r="K814">
        <v>2</v>
      </c>
      <c r="L814">
        <v>0</v>
      </c>
      <c r="M814">
        <v>0</v>
      </c>
      <c r="N814">
        <v>0</v>
      </c>
    </row>
    <row r="815" spans="1:14">
      <c r="A815" t="s">
        <v>147</v>
      </c>
      <c r="B815" t="s">
        <v>1480</v>
      </c>
      <c r="C815" t="s">
        <v>575</v>
      </c>
      <c r="D815" t="s">
        <v>609</v>
      </c>
      <c r="E815" t="s">
        <v>610</v>
      </c>
      <c r="F815">
        <v>1980</v>
      </c>
      <c r="G815">
        <v>13</v>
      </c>
      <c r="H815">
        <v>0</v>
      </c>
      <c r="I815">
        <v>624</v>
      </c>
      <c r="J815">
        <v>1</v>
      </c>
      <c r="K815">
        <v>13</v>
      </c>
      <c r="L815">
        <v>1</v>
      </c>
      <c r="M815">
        <v>0.59089999999999998</v>
      </c>
      <c r="N815">
        <v>0</v>
      </c>
    </row>
    <row r="816" spans="1:14">
      <c r="A816" t="s">
        <v>147</v>
      </c>
      <c r="B816" t="s">
        <v>1481</v>
      </c>
      <c r="C816" t="s">
        <v>557</v>
      </c>
      <c r="I816">
        <v>1110</v>
      </c>
      <c r="N816">
        <v>0</v>
      </c>
    </row>
    <row r="817" spans="1:14">
      <c r="A817" t="s">
        <v>147</v>
      </c>
      <c r="B817" t="s">
        <v>1482</v>
      </c>
      <c r="C817" t="s">
        <v>575</v>
      </c>
      <c r="D817" t="s">
        <v>675</v>
      </c>
      <c r="E817" t="s">
        <v>555</v>
      </c>
      <c r="F817">
        <v>2027</v>
      </c>
      <c r="G817">
        <v>4</v>
      </c>
      <c r="H817">
        <v>3</v>
      </c>
      <c r="I817">
        <v>0</v>
      </c>
      <c r="J817">
        <v>1</v>
      </c>
      <c r="K817">
        <v>7</v>
      </c>
      <c r="L817">
        <v>1</v>
      </c>
      <c r="M817">
        <v>0.31080000000000002</v>
      </c>
      <c r="N817">
        <v>0</v>
      </c>
    </row>
    <row r="818" spans="1:14">
      <c r="A818" t="s">
        <v>147</v>
      </c>
      <c r="B818" t="s">
        <v>1483</v>
      </c>
      <c r="C818" t="s">
        <v>553</v>
      </c>
      <c r="D818" t="s">
        <v>554</v>
      </c>
      <c r="E818" t="s">
        <v>555</v>
      </c>
      <c r="F818">
        <v>2266</v>
      </c>
      <c r="G818">
        <v>0</v>
      </c>
      <c r="H818">
        <v>15</v>
      </c>
      <c r="I818">
        <v>607</v>
      </c>
      <c r="J818">
        <v>1</v>
      </c>
      <c r="K818">
        <v>15</v>
      </c>
      <c r="L818">
        <v>0</v>
      </c>
      <c r="M818">
        <v>0</v>
      </c>
      <c r="N818">
        <v>1</v>
      </c>
    </row>
    <row r="819" spans="1:14">
      <c r="A819" t="s">
        <v>147</v>
      </c>
      <c r="B819" t="s">
        <v>1484</v>
      </c>
      <c r="C819" t="s">
        <v>557</v>
      </c>
      <c r="I819">
        <v>860</v>
      </c>
      <c r="N819">
        <v>0</v>
      </c>
    </row>
    <row r="820" spans="1:14">
      <c r="A820" t="s">
        <v>147</v>
      </c>
      <c r="B820" t="s">
        <v>1485</v>
      </c>
      <c r="C820" t="s">
        <v>575</v>
      </c>
      <c r="I820">
        <v>419</v>
      </c>
      <c r="N820">
        <v>0</v>
      </c>
    </row>
    <row r="821" spans="1:14">
      <c r="A821" t="s">
        <v>147</v>
      </c>
      <c r="B821" t="s">
        <v>1486</v>
      </c>
      <c r="C821" t="s">
        <v>553</v>
      </c>
      <c r="D821" t="s">
        <v>961</v>
      </c>
      <c r="E821" t="s">
        <v>566</v>
      </c>
      <c r="F821">
        <v>2134</v>
      </c>
      <c r="G821">
        <v>1</v>
      </c>
      <c r="H821">
        <v>2</v>
      </c>
      <c r="I821">
        <v>0</v>
      </c>
      <c r="J821">
        <v>1</v>
      </c>
      <c r="K821">
        <v>3</v>
      </c>
      <c r="L821">
        <v>0</v>
      </c>
      <c r="M821">
        <v>0</v>
      </c>
      <c r="N821">
        <v>0</v>
      </c>
    </row>
    <row r="822" spans="1:14">
      <c r="A822" t="s">
        <v>147</v>
      </c>
      <c r="B822" t="s">
        <v>1487</v>
      </c>
      <c r="C822" t="s">
        <v>575</v>
      </c>
      <c r="D822" t="s">
        <v>1488</v>
      </c>
      <c r="E822" t="s">
        <v>570</v>
      </c>
      <c r="F822">
        <v>1039</v>
      </c>
      <c r="G822">
        <v>0</v>
      </c>
      <c r="H822">
        <v>1</v>
      </c>
      <c r="I822">
        <v>74</v>
      </c>
      <c r="J822">
        <v>1</v>
      </c>
      <c r="K822">
        <v>1</v>
      </c>
      <c r="L822">
        <v>1</v>
      </c>
      <c r="M822">
        <v>8.6599999999999996E-2</v>
      </c>
      <c r="N822">
        <v>0</v>
      </c>
    </row>
    <row r="823" spans="1:14">
      <c r="A823" t="s">
        <v>147</v>
      </c>
      <c r="B823" t="s">
        <v>1489</v>
      </c>
      <c r="C823" t="s">
        <v>553</v>
      </c>
      <c r="D823" t="s">
        <v>1371</v>
      </c>
      <c r="E823" t="s">
        <v>566</v>
      </c>
      <c r="F823">
        <v>2622</v>
      </c>
      <c r="G823">
        <v>5</v>
      </c>
      <c r="H823">
        <v>1</v>
      </c>
      <c r="I823">
        <v>0</v>
      </c>
      <c r="J823">
        <v>1</v>
      </c>
      <c r="K823">
        <v>6</v>
      </c>
      <c r="L823">
        <v>0</v>
      </c>
      <c r="M823">
        <v>0</v>
      </c>
      <c r="N823">
        <v>0</v>
      </c>
    </row>
    <row r="824" spans="1:14">
      <c r="A824" t="s">
        <v>147</v>
      </c>
      <c r="B824" t="s">
        <v>1490</v>
      </c>
      <c r="C824" t="s">
        <v>575</v>
      </c>
      <c r="D824" t="s">
        <v>1491</v>
      </c>
      <c r="E824" t="s">
        <v>570</v>
      </c>
      <c r="F824">
        <v>2307</v>
      </c>
      <c r="G824">
        <v>3</v>
      </c>
      <c r="H824">
        <v>1</v>
      </c>
      <c r="I824">
        <v>0</v>
      </c>
      <c r="J824">
        <v>1</v>
      </c>
      <c r="K824">
        <v>4</v>
      </c>
      <c r="L824">
        <v>1</v>
      </c>
      <c r="M824">
        <v>0.156</v>
      </c>
      <c r="N824">
        <v>0</v>
      </c>
    </row>
    <row r="825" spans="1:14">
      <c r="A825" t="s">
        <v>147</v>
      </c>
      <c r="B825" t="s">
        <v>1492</v>
      </c>
      <c r="C825" t="s">
        <v>557</v>
      </c>
      <c r="I825">
        <v>0</v>
      </c>
      <c r="N825">
        <v>0</v>
      </c>
    </row>
    <row r="826" spans="1:14">
      <c r="A826" t="s">
        <v>147</v>
      </c>
      <c r="B826" t="s">
        <v>1493</v>
      </c>
      <c r="C826" t="s">
        <v>572</v>
      </c>
      <c r="I826">
        <v>0</v>
      </c>
      <c r="N826">
        <v>0</v>
      </c>
    </row>
    <row r="827" spans="1:14">
      <c r="A827" t="s">
        <v>147</v>
      </c>
      <c r="B827" t="s">
        <v>1494</v>
      </c>
      <c r="C827" t="s">
        <v>553</v>
      </c>
      <c r="I827">
        <v>0</v>
      </c>
      <c r="N827">
        <v>0</v>
      </c>
    </row>
    <row r="828" spans="1:14">
      <c r="A828" t="s">
        <v>147</v>
      </c>
      <c r="B828" t="s">
        <v>1495</v>
      </c>
      <c r="C828" t="s">
        <v>557</v>
      </c>
      <c r="D828" t="s">
        <v>653</v>
      </c>
      <c r="E828" t="s">
        <v>566</v>
      </c>
      <c r="F828">
        <v>2460</v>
      </c>
      <c r="G828">
        <v>4</v>
      </c>
      <c r="H828">
        <v>4</v>
      </c>
      <c r="I828">
        <v>0</v>
      </c>
      <c r="J828">
        <v>1</v>
      </c>
      <c r="K828">
        <v>8</v>
      </c>
      <c r="L828">
        <v>0</v>
      </c>
      <c r="M828">
        <v>0</v>
      </c>
      <c r="N828">
        <v>0</v>
      </c>
    </row>
    <row r="829" spans="1:14">
      <c r="A829" t="s">
        <v>147</v>
      </c>
      <c r="B829" t="s">
        <v>1496</v>
      </c>
      <c r="C829" t="s">
        <v>553</v>
      </c>
      <c r="I829">
        <v>909</v>
      </c>
      <c r="N829">
        <v>1</v>
      </c>
    </row>
    <row r="830" spans="1:14">
      <c r="A830" t="s">
        <v>147</v>
      </c>
      <c r="B830" t="s">
        <v>1497</v>
      </c>
      <c r="C830" t="s">
        <v>557</v>
      </c>
      <c r="D830" t="s">
        <v>1498</v>
      </c>
      <c r="E830" t="s">
        <v>566</v>
      </c>
      <c r="F830">
        <v>1374</v>
      </c>
      <c r="G830">
        <v>3</v>
      </c>
      <c r="H830">
        <v>1</v>
      </c>
      <c r="I830">
        <v>0</v>
      </c>
      <c r="J830">
        <v>1</v>
      </c>
      <c r="K830">
        <v>4</v>
      </c>
      <c r="L830">
        <v>0</v>
      </c>
      <c r="M830">
        <v>0</v>
      </c>
      <c r="N830">
        <v>0</v>
      </c>
    </row>
    <row r="831" spans="1:14">
      <c r="A831" t="s">
        <v>147</v>
      </c>
      <c r="B831" t="s">
        <v>1499</v>
      </c>
      <c r="C831" t="s">
        <v>553</v>
      </c>
      <c r="I831">
        <v>0</v>
      </c>
      <c r="N831">
        <v>0</v>
      </c>
    </row>
    <row r="832" spans="1:14">
      <c r="A832" t="s">
        <v>147</v>
      </c>
      <c r="B832" t="s">
        <v>1500</v>
      </c>
      <c r="C832" t="s">
        <v>553</v>
      </c>
      <c r="I832">
        <v>987</v>
      </c>
      <c r="N832">
        <v>1</v>
      </c>
    </row>
    <row r="833" spans="1:14">
      <c r="A833" t="s">
        <v>147</v>
      </c>
      <c r="B833" t="s">
        <v>1501</v>
      </c>
      <c r="C833" t="s">
        <v>572</v>
      </c>
      <c r="D833" t="s">
        <v>969</v>
      </c>
      <c r="E833" t="s">
        <v>555</v>
      </c>
      <c r="F833">
        <v>90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</row>
    <row r="834" spans="1:14">
      <c r="A834" t="s">
        <v>149</v>
      </c>
      <c r="B834" t="s">
        <v>1502</v>
      </c>
      <c r="C834" t="s">
        <v>553</v>
      </c>
      <c r="D834" t="s">
        <v>576</v>
      </c>
      <c r="E834" t="s">
        <v>561</v>
      </c>
      <c r="F834">
        <v>989</v>
      </c>
      <c r="G834">
        <v>2</v>
      </c>
      <c r="H834">
        <v>1</v>
      </c>
      <c r="I834">
        <v>389</v>
      </c>
      <c r="J834">
        <v>1</v>
      </c>
      <c r="K834">
        <v>3</v>
      </c>
      <c r="L834">
        <v>0</v>
      </c>
      <c r="M834">
        <v>0</v>
      </c>
      <c r="N834">
        <v>1</v>
      </c>
    </row>
    <row r="835" spans="1:14">
      <c r="A835" t="s">
        <v>149</v>
      </c>
      <c r="B835" t="s">
        <v>1503</v>
      </c>
      <c r="C835" t="s">
        <v>553</v>
      </c>
      <c r="I835">
        <v>0</v>
      </c>
      <c r="N835">
        <v>0</v>
      </c>
    </row>
    <row r="836" spans="1:14">
      <c r="A836" t="s">
        <v>149</v>
      </c>
      <c r="B836" t="s">
        <v>1504</v>
      </c>
      <c r="C836" t="s">
        <v>553</v>
      </c>
      <c r="I836">
        <v>0</v>
      </c>
      <c r="N836">
        <v>0</v>
      </c>
    </row>
    <row r="837" spans="1:14">
      <c r="A837" t="s">
        <v>149</v>
      </c>
      <c r="B837" t="s">
        <v>1505</v>
      </c>
      <c r="C837" t="s">
        <v>572</v>
      </c>
      <c r="I837">
        <v>0</v>
      </c>
      <c r="N837">
        <v>0</v>
      </c>
    </row>
    <row r="838" spans="1:14">
      <c r="A838" t="s">
        <v>149</v>
      </c>
      <c r="B838" t="s">
        <v>1506</v>
      </c>
      <c r="C838" t="s">
        <v>557</v>
      </c>
      <c r="I838">
        <v>0</v>
      </c>
      <c r="N838">
        <v>0</v>
      </c>
    </row>
    <row r="839" spans="1:14">
      <c r="A839" t="s">
        <v>149</v>
      </c>
      <c r="B839" t="s">
        <v>1507</v>
      </c>
      <c r="C839" t="s">
        <v>557</v>
      </c>
      <c r="I839">
        <v>0</v>
      </c>
      <c r="N839">
        <v>0</v>
      </c>
    </row>
    <row r="840" spans="1:14">
      <c r="A840" t="s">
        <v>149</v>
      </c>
      <c r="B840" t="s">
        <v>1508</v>
      </c>
      <c r="C840" t="s">
        <v>557</v>
      </c>
      <c r="I840">
        <v>0</v>
      </c>
      <c r="N840">
        <v>0</v>
      </c>
    </row>
    <row r="841" spans="1:14">
      <c r="A841" t="s">
        <v>149</v>
      </c>
      <c r="B841" t="s">
        <v>1509</v>
      </c>
      <c r="C841" t="s">
        <v>557</v>
      </c>
      <c r="I841">
        <v>0</v>
      </c>
      <c r="N841">
        <v>0</v>
      </c>
    </row>
    <row r="842" spans="1:14">
      <c r="A842" t="s">
        <v>149</v>
      </c>
      <c r="B842" t="s">
        <v>1510</v>
      </c>
      <c r="C842" t="s">
        <v>557</v>
      </c>
      <c r="I842">
        <v>0</v>
      </c>
      <c r="N842">
        <v>0</v>
      </c>
    </row>
    <row r="843" spans="1:14">
      <c r="A843" t="s">
        <v>149</v>
      </c>
      <c r="B843" t="s">
        <v>1511</v>
      </c>
      <c r="C843" t="s">
        <v>553</v>
      </c>
      <c r="I843">
        <v>0</v>
      </c>
      <c r="N843">
        <v>0</v>
      </c>
    </row>
    <row r="844" spans="1:14">
      <c r="A844" t="s">
        <v>149</v>
      </c>
      <c r="B844" t="s">
        <v>1512</v>
      </c>
      <c r="C844" t="s">
        <v>575</v>
      </c>
      <c r="I844">
        <v>0</v>
      </c>
      <c r="N844">
        <v>0</v>
      </c>
    </row>
    <row r="845" spans="1:14">
      <c r="A845" t="s">
        <v>149</v>
      </c>
      <c r="B845" t="s">
        <v>1513</v>
      </c>
      <c r="C845" t="s">
        <v>553</v>
      </c>
      <c r="I845">
        <v>0</v>
      </c>
      <c r="N845">
        <v>0</v>
      </c>
    </row>
    <row r="846" spans="1:14">
      <c r="A846" t="s">
        <v>149</v>
      </c>
      <c r="B846" t="s">
        <v>1514</v>
      </c>
      <c r="C846" t="s">
        <v>553</v>
      </c>
      <c r="I846">
        <v>0</v>
      </c>
      <c r="N846">
        <v>0</v>
      </c>
    </row>
    <row r="847" spans="1:14">
      <c r="A847" t="s">
        <v>149</v>
      </c>
      <c r="B847" t="s">
        <v>1515</v>
      </c>
      <c r="C847" t="s">
        <v>575</v>
      </c>
      <c r="I847">
        <v>0</v>
      </c>
      <c r="N847">
        <v>0</v>
      </c>
    </row>
    <row r="848" spans="1:14">
      <c r="A848" t="s">
        <v>149</v>
      </c>
      <c r="B848" t="s">
        <v>1516</v>
      </c>
      <c r="C848" t="s">
        <v>575</v>
      </c>
      <c r="I848">
        <v>0</v>
      </c>
      <c r="N848">
        <v>0</v>
      </c>
    </row>
    <row r="849" spans="1:14">
      <c r="A849" t="s">
        <v>149</v>
      </c>
      <c r="B849" t="s">
        <v>1517</v>
      </c>
      <c r="C849" t="s">
        <v>557</v>
      </c>
      <c r="I849">
        <v>0</v>
      </c>
      <c r="N849">
        <v>0</v>
      </c>
    </row>
    <row r="850" spans="1:14">
      <c r="A850" t="s">
        <v>149</v>
      </c>
      <c r="B850" t="s">
        <v>1518</v>
      </c>
      <c r="C850" t="s">
        <v>575</v>
      </c>
      <c r="I850">
        <v>0</v>
      </c>
      <c r="N850">
        <v>0</v>
      </c>
    </row>
    <row r="851" spans="1:14">
      <c r="A851" t="s">
        <v>149</v>
      </c>
      <c r="B851" t="s">
        <v>1519</v>
      </c>
      <c r="C851" t="s">
        <v>553</v>
      </c>
      <c r="I851">
        <v>0</v>
      </c>
      <c r="N851">
        <v>0</v>
      </c>
    </row>
    <row r="852" spans="1:14">
      <c r="A852" t="s">
        <v>149</v>
      </c>
      <c r="B852" t="s">
        <v>1520</v>
      </c>
      <c r="C852" t="s">
        <v>575</v>
      </c>
      <c r="I852">
        <v>0</v>
      </c>
      <c r="N852">
        <v>0</v>
      </c>
    </row>
    <row r="853" spans="1:14">
      <c r="A853" t="s">
        <v>149</v>
      </c>
      <c r="B853" t="s">
        <v>1521</v>
      </c>
      <c r="C853" t="s">
        <v>557</v>
      </c>
      <c r="I853">
        <v>0</v>
      </c>
      <c r="N853">
        <v>0</v>
      </c>
    </row>
    <row r="854" spans="1:14">
      <c r="A854" t="s">
        <v>149</v>
      </c>
      <c r="B854" t="s">
        <v>1522</v>
      </c>
      <c r="C854" t="s">
        <v>557</v>
      </c>
      <c r="I854">
        <v>0</v>
      </c>
      <c r="N854">
        <v>0</v>
      </c>
    </row>
    <row r="855" spans="1:14">
      <c r="A855" t="s">
        <v>149</v>
      </c>
      <c r="B855" t="s">
        <v>1523</v>
      </c>
      <c r="C855" t="s">
        <v>553</v>
      </c>
      <c r="I855">
        <v>0</v>
      </c>
      <c r="N855">
        <v>0</v>
      </c>
    </row>
    <row r="856" spans="1:14">
      <c r="A856" t="s">
        <v>149</v>
      </c>
      <c r="B856" t="s">
        <v>1524</v>
      </c>
      <c r="C856" t="s">
        <v>572</v>
      </c>
      <c r="I856">
        <v>0</v>
      </c>
      <c r="N856">
        <v>0</v>
      </c>
    </row>
    <row r="857" spans="1:14">
      <c r="A857" t="s">
        <v>149</v>
      </c>
      <c r="B857" t="s">
        <v>1525</v>
      </c>
      <c r="C857" t="s">
        <v>553</v>
      </c>
      <c r="I857">
        <v>0</v>
      </c>
      <c r="N857">
        <v>0</v>
      </c>
    </row>
    <row r="858" spans="1:14">
      <c r="A858" t="s">
        <v>149</v>
      </c>
      <c r="B858" t="s">
        <v>1526</v>
      </c>
      <c r="C858" t="s">
        <v>572</v>
      </c>
      <c r="I858">
        <v>0</v>
      </c>
      <c r="N858">
        <v>0</v>
      </c>
    </row>
    <row r="859" spans="1:14">
      <c r="A859" t="s">
        <v>149</v>
      </c>
      <c r="B859" t="s">
        <v>1527</v>
      </c>
      <c r="C859" t="s">
        <v>557</v>
      </c>
      <c r="I859">
        <v>0</v>
      </c>
      <c r="N859">
        <v>0</v>
      </c>
    </row>
    <row r="860" spans="1:14">
      <c r="A860" t="s">
        <v>155</v>
      </c>
      <c r="B860" t="s">
        <v>1528</v>
      </c>
      <c r="C860" t="s">
        <v>557</v>
      </c>
      <c r="I860">
        <v>0</v>
      </c>
      <c r="N860">
        <v>0</v>
      </c>
    </row>
    <row r="861" spans="1:14">
      <c r="A861" t="s">
        <v>155</v>
      </c>
      <c r="B861" t="s">
        <v>1529</v>
      </c>
      <c r="C861" t="s">
        <v>572</v>
      </c>
      <c r="I861">
        <v>0</v>
      </c>
      <c r="N861">
        <v>0</v>
      </c>
    </row>
    <row r="862" spans="1:14">
      <c r="A862" t="s">
        <v>155</v>
      </c>
      <c r="B862" t="s">
        <v>1530</v>
      </c>
      <c r="C862" t="s">
        <v>553</v>
      </c>
      <c r="I862">
        <v>0</v>
      </c>
      <c r="N862">
        <v>0</v>
      </c>
    </row>
    <row r="863" spans="1:14">
      <c r="A863" t="s">
        <v>155</v>
      </c>
      <c r="B863" t="s">
        <v>1531</v>
      </c>
      <c r="C863" t="s">
        <v>553</v>
      </c>
      <c r="I863">
        <v>0</v>
      </c>
      <c r="N863">
        <v>0</v>
      </c>
    </row>
    <row r="864" spans="1:14">
      <c r="A864" t="s">
        <v>155</v>
      </c>
      <c r="B864" t="s">
        <v>1532</v>
      </c>
      <c r="C864" t="s">
        <v>575</v>
      </c>
      <c r="D864" t="s">
        <v>633</v>
      </c>
      <c r="E864" t="s">
        <v>561</v>
      </c>
      <c r="F864">
        <v>1883</v>
      </c>
      <c r="G864">
        <v>2</v>
      </c>
      <c r="H864">
        <v>6</v>
      </c>
      <c r="I864">
        <v>0</v>
      </c>
      <c r="J864">
        <v>1</v>
      </c>
      <c r="K864">
        <v>8</v>
      </c>
      <c r="L864">
        <v>1</v>
      </c>
      <c r="M864">
        <v>0.38240000000000002</v>
      </c>
      <c r="N864">
        <v>0</v>
      </c>
    </row>
    <row r="865" spans="1:14">
      <c r="A865" t="s">
        <v>155</v>
      </c>
      <c r="B865" t="s">
        <v>1533</v>
      </c>
      <c r="C865" t="s">
        <v>553</v>
      </c>
      <c r="I865">
        <v>0</v>
      </c>
      <c r="N865">
        <v>0</v>
      </c>
    </row>
    <row r="866" spans="1:14">
      <c r="A866" t="s">
        <v>155</v>
      </c>
      <c r="B866" t="s">
        <v>1534</v>
      </c>
      <c r="C866" t="s">
        <v>557</v>
      </c>
      <c r="I866">
        <v>0</v>
      </c>
      <c r="N866">
        <v>0</v>
      </c>
    </row>
    <row r="867" spans="1:14">
      <c r="A867" t="s">
        <v>155</v>
      </c>
      <c r="B867" t="s">
        <v>1535</v>
      </c>
      <c r="C867" t="s">
        <v>553</v>
      </c>
      <c r="D867" t="s">
        <v>900</v>
      </c>
      <c r="E867" t="s">
        <v>570</v>
      </c>
      <c r="F867">
        <v>2798</v>
      </c>
      <c r="G867">
        <v>1</v>
      </c>
      <c r="H867">
        <v>1</v>
      </c>
      <c r="I867">
        <v>0</v>
      </c>
      <c r="J867">
        <v>1</v>
      </c>
      <c r="K867">
        <v>2</v>
      </c>
      <c r="L867">
        <v>0</v>
      </c>
      <c r="M867">
        <v>0</v>
      </c>
      <c r="N867">
        <v>0</v>
      </c>
    </row>
    <row r="868" spans="1:14">
      <c r="A868" t="s">
        <v>155</v>
      </c>
      <c r="B868" t="s">
        <v>1536</v>
      </c>
      <c r="C868" t="s">
        <v>557</v>
      </c>
      <c r="D868" t="s">
        <v>713</v>
      </c>
      <c r="E868" t="s">
        <v>570</v>
      </c>
      <c r="F868">
        <v>2120</v>
      </c>
      <c r="G868">
        <v>5</v>
      </c>
      <c r="H868">
        <v>1</v>
      </c>
      <c r="I868">
        <v>0</v>
      </c>
      <c r="J868">
        <v>1</v>
      </c>
      <c r="K868">
        <v>6</v>
      </c>
      <c r="L868">
        <v>0</v>
      </c>
      <c r="M868">
        <v>0</v>
      </c>
      <c r="N868">
        <v>0</v>
      </c>
    </row>
    <row r="869" spans="1:14">
      <c r="A869" t="s">
        <v>155</v>
      </c>
      <c r="B869" t="s">
        <v>1537</v>
      </c>
      <c r="C869" t="s">
        <v>557</v>
      </c>
      <c r="I869">
        <v>0</v>
      </c>
      <c r="N869">
        <v>0</v>
      </c>
    </row>
    <row r="870" spans="1:14">
      <c r="A870" t="s">
        <v>155</v>
      </c>
      <c r="B870" t="s">
        <v>1538</v>
      </c>
      <c r="C870" t="s">
        <v>553</v>
      </c>
      <c r="I870">
        <v>0</v>
      </c>
      <c r="N870">
        <v>0</v>
      </c>
    </row>
    <row r="871" spans="1:14">
      <c r="A871" t="s">
        <v>155</v>
      </c>
      <c r="B871" t="s">
        <v>1539</v>
      </c>
      <c r="C871" t="s">
        <v>557</v>
      </c>
      <c r="I871">
        <v>0</v>
      </c>
      <c r="N871">
        <v>0</v>
      </c>
    </row>
    <row r="872" spans="1:14">
      <c r="A872" t="s">
        <v>155</v>
      </c>
      <c r="B872" t="s">
        <v>1540</v>
      </c>
      <c r="C872" t="s">
        <v>575</v>
      </c>
      <c r="I872">
        <v>0</v>
      </c>
      <c r="N872">
        <v>0</v>
      </c>
    </row>
    <row r="873" spans="1:14">
      <c r="A873" t="s">
        <v>155</v>
      </c>
      <c r="B873" t="s">
        <v>1541</v>
      </c>
      <c r="C873" t="s">
        <v>553</v>
      </c>
      <c r="I873">
        <v>0</v>
      </c>
      <c r="N873">
        <v>0</v>
      </c>
    </row>
    <row r="874" spans="1:14">
      <c r="A874" t="s">
        <v>155</v>
      </c>
      <c r="B874" t="s">
        <v>1542</v>
      </c>
      <c r="C874" t="s">
        <v>575</v>
      </c>
      <c r="D874" t="s">
        <v>1543</v>
      </c>
      <c r="E874" t="s">
        <v>566</v>
      </c>
      <c r="F874">
        <v>945</v>
      </c>
      <c r="G874">
        <v>1</v>
      </c>
      <c r="H874">
        <v>1</v>
      </c>
      <c r="I874">
        <v>0</v>
      </c>
      <c r="J874">
        <v>1</v>
      </c>
      <c r="K874">
        <v>2</v>
      </c>
      <c r="L874">
        <v>1</v>
      </c>
      <c r="M874">
        <v>0.1905</v>
      </c>
      <c r="N874">
        <v>0</v>
      </c>
    </row>
    <row r="875" spans="1:14">
      <c r="A875" t="s">
        <v>155</v>
      </c>
      <c r="B875" t="s">
        <v>1544</v>
      </c>
      <c r="C875" t="s">
        <v>553</v>
      </c>
      <c r="I875">
        <v>0</v>
      </c>
      <c r="N875">
        <v>0</v>
      </c>
    </row>
    <row r="876" spans="1:14">
      <c r="A876" t="s">
        <v>155</v>
      </c>
      <c r="B876" t="s">
        <v>1545</v>
      </c>
      <c r="C876" t="s">
        <v>575</v>
      </c>
      <c r="I876">
        <v>0</v>
      </c>
      <c r="N876">
        <v>0</v>
      </c>
    </row>
    <row r="877" spans="1:14">
      <c r="A877" t="s">
        <v>155</v>
      </c>
      <c r="B877" t="s">
        <v>1546</v>
      </c>
      <c r="C877" t="s">
        <v>557</v>
      </c>
      <c r="I877">
        <v>0</v>
      </c>
      <c r="N877">
        <v>0</v>
      </c>
    </row>
    <row r="878" spans="1:14">
      <c r="A878" t="s">
        <v>155</v>
      </c>
      <c r="B878" t="s">
        <v>1547</v>
      </c>
      <c r="C878" t="s">
        <v>575</v>
      </c>
      <c r="I878">
        <v>0</v>
      </c>
      <c r="N878">
        <v>0</v>
      </c>
    </row>
    <row r="879" spans="1:14">
      <c r="A879" t="s">
        <v>155</v>
      </c>
      <c r="B879" t="s">
        <v>1548</v>
      </c>
      <c r="C879" t="s">
        <v>575</v>
      </c>
      <c r="I879">
        <v>0</v>
      </c>
      <c r="N879">
        <v>0</v>
      </c>
    </row>
    <row r="880" spans="1:14">
      <c r="A880" t="s">
        <v>155</v>
      </c>
      <c r="B880" t="s">
        <v>1549</v>
      </c>
      <c r="C880" t="s">
        <v>557</v>
      </c>
      <c r="I880">
        <v>0</v>
      </c>
      <c r="N880">
        <v>0</v>
      </c>
    </row>
    <row r="881" spans="1:14">
      <c r="A881" t="s">
        <v>155</v>
      </c>
      <c r="B881" t="s">
        <v>1550</v>
      </c>
      <c r="C881" t="s">
        <v>575</v>
      </c>
      <c r="I881">
        <v>0</v>
      </c>
      <c r="N881">
        <v>0</v>
      </c>
    </row>
    <row r="882" spans="1:14">
      <c r="A882" t="s">
        <v>155</v>
      </c>
      <c r="B882" t="s">
        <v>1551</v>
      </c>
      <c r="C882" t="s">
        <v>557</v>
      </c>
      <c r="I882">
        <v>0</v>
      </c>
      <c r="N882">
        <v>0</v>
      </c>
    </row>
    <row r="883" spans="1:14">
      <c r="A883" t="s">
        <v>155</v>
      </c>
      <c r="B883" t="s">
        <v>1552</v>
      </c>
      <c r="C883" t="s">
        <v>553</v>
      </c>
      <c r="I883">
        <v>0</v>
      </c>
      <c r="N883">
        <v>0</v>
      </c>
    </row>
    <row r="884" spans="1:14">
      <c r="A884" t="s">
        <v>155</v>
      </c>
      <c r="B884" t="s">
        <v>1553</v>
      </c>
      <c r="C884" t="s">
        <v>572</v>
      </c>
      <c r="I884">
        <v>0</v>
      </c>
      <c r="N884">
        <v>0</v>
      </c>
    </row>
    <row r="885" spans="1:14">
      <c r="A885" t="s">
        <v>155</v>
      </c>
      <c r="B885" t="s">
        <v>1554</v>
      </c>
      <c r="C885" t="s">
        <v>572</v>
      </c>
      <c r="I885">
        <v>0</v>
      </c>
      <c r="N885">
        <v>0</v>
      </c>
    </row>
    <row r="886" spans="1:14">
      <c r="A886" t="s">
        <v>135</v>
      </c>
      <c r="B886" t="s">
        <v>1555</v>
      </c>
      <c r="C886" t="s">
        <v>572</v>
      </c>
      <c r="I886">
        <v>0</v>
      </c>
      <c r="N886">
        <v>0</v>
      </c>
    </row>
    <row r="887" spans="1:14">
      <c r="A887" t="s">
        <v>135</v>
      </c>
      <c r="B887" t="s">
        <v>1556</v>
      </c>
      <c r="C887" t="s">
        <v>553</v>
      </c>
      <c r="D887" t="s">
        <v>824</v>
      </c>
      <c r="E887" t="s">
        <v>610</v>
      </c>
      <c r="F887">
        <v>2481</v>
      </c>
      <c r="G887">
        <v>0</v>
      </c>
      <c r="H887">
        <v>0</v>
      </c>
      <c r="I887">
        <v>720</v>
      </c>
      <c r="J887">
        <v>1</v>
      </c>
      <c r="K887">
        <v>0</v>
      </c>
      <c r="L887">
        <v>0</v>
      </c>
      <c r="M887">
        <v>0</v>
      </c>
      <c r="N887">
        <v>1</v>
      </c>
    </row>
    <row r="888" spans="1:14">
      <c r="A888" t="s">
        <v>135</v>
      </c>
      <c r="B888" t="s">
        <v>1557</v>
      </c>
      <c r="C888" t="s">
        <v>575</v>
      </c>
      <c r="I888">
        <v>0</v>
      </c>
      <c r="N888">
        <v>0</v>
      </c>
    </row>
    <row r="889" spans="1:14">
      <c r="A889" t="s">
        <v>135</v>
      </c>
      <c r="B889" t="s">
        <v>1558</v>
      </c>
      <c r="C889" t="s">
        <v>557</v>
      </c>
      <c r="D889" t="s">
        <v>604</v>
      </c>
      <c r="E889" t="s">
        <v>570</v>
      </c>
      <c r="F889">
        <v>3063</v>
      </c>
      <c r="G889">
        <v>5</v>
      </c>
      <c r="H889">
        <v>21</v>
      </c>
      <c r="I889">
        <v>0</v>
      </c>
      <c r="J889">
        <v>1</v>
      </c>
      <c r="K889">
        <v>26</v>
      </c>
      <c r="L889">
        <v>0</v>
      </c>
      <c r="M889">
        <v>0</v>
      </c>
      <c r="N889">
        <v>0</v>
      </c>
    </row>
    <row r="890" spans="1:14">
      <c r="A890" t="s">
        <v>135</v>
      </c>
      <c r="B890" t="s">
        <v>1559</v>
      </c>
      <c r="C890" t="s">
        <v>553</v>
      </c>
      <c r="D890" t="s">
        <v>771</v>
      </c>
      <c r="E890" t="s">
        <v>561</v>
      </c>
      <c r="F890">
        <v>1256</v>
      </c>
      <c r="G890">
        <v>3</v>
      </c>
      <c r="H890">
        <v>5</v>
      </c>
      <c r="I890">
        <v>1397</v>
      </c>
      <c r="J890">
        <v>1</v>
      </c>
      <c r="K890">
        <v>8</v>
      </c>
      <c r="L890">
        <v>0</v>
      </c>
      <c r="M890">
        <v>0</v>
      </c>
      <c r="N890">
        <v>1</v>
      </c>
    </row>
    <row r="891" spans="1:14">
      <c r="A891" t="s">
        <v>135</v>
      </c>
      <c r="B891" t="s">
        <v>1560</v>
      </c>
      <c r="C891" t="s">
        <v>557</v>
      </c>
      <c r="D891" t="s">
        <v>771</v>
      </c>
      <c r="E891" t="s">
        <v>561</v>
      </c>
      <c r="F891">
        <v>2119</v>
      </c>
      <c r="G891">
        <v>1</v>
      </c>
      <c r="H891">
        <v>7</v>
      </c>
      <c r="I891">
        <v>1543</v>
      </c>
      <c r="J891">
        <v>1</v>
      </c>
      <c r="K891">
        <v>8</v>
      </c>
      <c r="L891">
        <v>0</v>
      </c>
      <c r="M891">
        <v>0</v>
      </c>
      <c r="N891">
        <v>0</v>
      </c>
    </row>
    <row r="892" spans="1:14">
      <c r="A892" t="s">
        <v>135</v>
      </c>
      <c r="B892" t="s">
        <v>1561</v>
      </c>
      <c r="C892" t="s">
        <v>557</v>
      </c>
      <c r="D892" t="s">
        <v>602</v>
      </c>
      <c r="E892" t="s">
        <v>570</v>
      </c>
      <c r="F892">
        <v>2631</v>
      </c>
      <c r="G892">
        <v>5</v>
      </c>
      <c r="H892">
        <v>6</v>
      </c>
      <c r="I892">
        <v>612</v>
      </c>
      <c r="J892">
        <v>1</v>
      </c>
      <c r="K892">
        <v>11</v>
      </c>
      <c r="L892">
        <v>0</v>
      </c>
      <c r="M892">
        <v>0</v>
      </c>
      <c r="N892">
        <v>0</v>
      </c>
    </row>
    <row r="893" spans="1:14">
      <c r="A893" t="s">
        <v>135</v>
      </c>
      <c r="B893" t="s">
        <v>1562</v>
      </c>
      <c r="C893" t="s">
        <v>553</v>
      </c>
      <c r="D893" t="s">
        <v>783</v>
      </c>
      <c r="E893" t="s">
        <v>610</v>
      </c>
      <c r="F893">
        <v>954</v>
      </c>
      <c r="G893">
        <v>2</v>
      </c>
      <c r="H893">
        <v>2</v>
      </c>
      <c r="I893">
        <v>328</v>
      </c>
      <c r="J893">
        <v>1</v>
      </c>
      <c r="K893">
        <v>4</v>
      </c>
      <c r="L893">
        <v>0</v>
      </c>
      <c r="M893">
        <v>0</v>
      </c>
      <c r="N893">
        <v>1</v>
      </c>
    </row>
    <row r="894" spans="1:14">
      <c r="A894" t="s">
        <v>135</v>
      </c>
      <c r="B894" t="s">
        <v>1563</v>
      </c>
      <c r="C894" t="s">
        <v>557</v>
      </c>
      <c r="D894" t="s">
        <v>771</v>
      </c>
      <c r="E894" t="s">
        <v>561</v>
      </c>
      <c r="F894">
        <v>1287</v>
      </c>
      <c r="G894">
        <v>5</v>
      </c>
      <c r="H894">
        <v>1</v>
      </c>
      <c r="I894">
        <v>1143</v>
      </c>
      <c r="J894">
        <v>1</v>
      </c>
      <c r="K894">
        <v>6</v>
      </c>
      <c r="L894">
        <v>0</v>
      </c>
      <c r="M894">
        <v>0</v>
      </c>
      <c r="N894">
        <v>0</v>
      </c>
    </row>
    <row r="895" spans="1:14">
      <c r="A895" t="s">
        <v>135</v>
      </c>
      <c r="B895" t="s">
        <v>1564</v>
      </c>
      <c r="C895" t="s">
        <v>553</v>
      </c>
      <c r="D895" t="s">
        <v>569</v>
      </c>
      <c r="E895" t="s">
        <v>570</v>
      </c>
      <c r="F895">
        <v>2141</v>
      </c>
      <c r="G895">
        <v>2</v>
      </c>
      <c r="H895">
        <v>0</v>
      </c>
      <c r="I895">
        <v>508</v>
      </c>
      <c r="J895">
        <v>1</v>
      </c>
      <c r="K895">
        <v>2</v>
      </c>
      <c r="L895">
        <v>0</v>
      </c>
      <c r="M895">
        <v>0</v>
      </c>
      <c r="N895">
        <v>1</v>
      </c>
    </row>
    <row r="896" spans="1:14">
      <c r="A896" t="s">
        <v>135</v>
      </c>
      <c r="B896" t="s">
        <v>1565</v>
      </c>
      <c r="C896" t="s">
        <v>557</v>
      </c>
      <c r="I896">
        <v>0</v>
      </c>
      <c r="N896">
        <v>0</v>
      </c>
    </row>
    <row r="897" spans="1:14">
      <c r="A897" t="s">
        <v>135</v>
      </c>
      <c r="B897" t="s">
        <v>1566</v>
      </c>
      <c r="C897" t="s">
        <v>557</v>
      </c>
      <c r="D897" t="s">
        <v>729</v>
      </c>
      <c r="E897" t="s">
        <v>566</v>
      </c>
      <c r="F897">
        <v>1851</v>
      </c>
      <c r="G897">
        <v>7</v>
      </c>
      <c r="H897">
        <v>3</v>
      </c>
      <c r="I897">
        <v>0</v>
      </c>
      <c r="J897">
        <v>1</v>
      </c>
      <c r="K897">
        <v>10</v>
      </c>
      <c r="L897">
        <v>0</v>
      </c>
      <c r="M897">
        <v>0</v>
      </c>
      <c r="N897">
        <v>0</v>
      </c>
    </row>
    <row r="898" spans="1:14">
      <c r="A898" t="s">
        <v>135</v>
      </c>
      <c r="B898" t="s">
        <v>1567</v>
      </c>
      <c r="C898" t="s">
        <v>557</v>
      </c>
      <c r="D898" t="s">
        <v>569</v>
      </c>
      <c r="E898" t="s">
        <v>570</v>
      </c>
      <c r="F898">
        <v>2872</v>
      </c>
      <c r="G898">
        <v>2</v>
      </c>
      <c r="H898">
        <v>4</v>
      </c>
      <c r="I898">
        <v>550</v>
      </c>
      <c r="J898">
        <v>1</v>
      </c>
      <c r="K898">
        <v>6</v>
      </c>
      <c r="L898">
        <v>0</v>
      </c>
      <c r="M898">
        <v>0</v>
      </c>
      <c r="N898">
        <v>0</v>
      </c>
    </row>
    <row r="899" spans="1:14">
      <c r="A899" t="s">
        <v>135</v>
      </c>
      <c r="B899" t="s">
        <v>1568</v>
      </c>
      <c r="C899" t="s">
        <v>553</v>
      </c>
      <c r="I899">
        <v>658</v>
      </c>
      <c r="N899">
        <v>1</v>
      </c>
    </row>
    <row r="900" spans="1:14">
      <c r="A900" t="s">
        <v>135</v>
      </c>
      <c r="B900" t="s">
        <v>1569</v>
      </c>
      <c r="C900" t="s">
        <v>557</v>
      </c>
      <c r="I900">
        <v>0</v>
      </c>
      <c r="N900">
        <v>0</v>
      </c>
    </row>
    <row r="901" spans="1:14">
      <c r="A901" t="s">
        <v>135</v>
      </c>
      <c r="B901" t="s">
        <v>1570</v>
      </c>
      <c r="C901" t="s">
        <v>553</v>
      </c>
      <c r="I901">
        <v>0</v>
      </c>
      <c r="N901">
        <v>0</v>
      </c>
    </row>
    <row r="902" spans="1:14">
      <c r="A902" t="s">
        <v>135</v>
      </c>
      <c r="B902" t="s">
        <v>1571</v>
      </c>
      <c r="C902" t="s">
        <v>557</v>
      </c>
      <c r="D902" t="s">
        <v>798</v>
      </c>
      <c r="E902" t="s">
        <v>566</v>
      </c>
      <c r="F902">
        <v>2078</v>
      </c>
      <c r="G902">
        <v>3</v>
      </c>
      <c r="H902">
        <v>5</v>
      </c>
      <c r="I902">
        <v>497</v>
      </c>
      <c r="J902">
        <v>1</v>
      </c>
      <c r="K902">
        <v>8</v>
      </c>
      <c r="L902">
        <v>0</v>
      </c>
      <c r="M902">
        <v>0</v>
      </c>
      <c r="N902">
        <v>0</v>
      </c>
    </row>
    <row r="903" spans="1:14">
      <c r="A903" t="s">
        <v>135</v>
      </c>
      <c r="B903" t="s">
        <v>1572</v>
      </c>
      <c r="C903" t="s">
        <v>553</v>
      </c>
      <c r="D903" t="s">
        <v>604</v>
      </c>
      <c r="E903" t="s">
        <v>570</v>
      </c>
      <c r="F903">
        <v>2614</v>
      </c>
      <c r="G903">
        <v>1</v>
      </c>
      <c r="H903">
        <v>3</v>
      </c>
      <c r="I903">
        <v>0</v>
      </c>
      <c r="J903">
        <v>1</v>
      </c>
      <c r="K903">
        <v>4</v>
      </c>
      <c r="L903">
        <v>0</v>
      </c>
      <c r="M903">
        <v>0</v>
      </c>
      <c r="N903">
        <v>0</v>
      </c>
    </row>
    <row r="904" spans="1:14">
      <c r="A904" t="s">
        <v>135</v>
      </c>
      <c r="B904" t="s">
        <v>1573</v>
      </c>
      <c r="C904" t="s">
        <v>575</v>
      </c>
      <c r="D904" t="s">
        <v>771</v>
      </c>
      <c r="E904" t="s">
        <v>561</v>
      </c>
      <c r="F904">
        <v>1318</v>
      </c>
      <c r="G904">
        <v>5</v>
      </c>
      <c r="H904">
        <v>1</v>
      </c>
      <c r="I904">
        <v>213</v>
      </c>
      <c r="J904">
        <v>1</v>
      </c>
      <c r="K904">
        <v>6</v>
      </c>
      <c r="L904">
        <v>1</v>
      </c>
      <c r="M904">
        <v>0.40970000000000001</v>
      </c>
      <c r="N904">
        <v>0</v>
      </c>
    </row>
    <row r="905" spans="1:14">
      <c r="A905" t="s">
        <v>135</v>
      </c>
      <c r="B905" t="s">
        <v>1574</v>
      </c>
      <c r="C905" t="s">
        <v>575</v>
      </c>
      <c r="I905">
        <v>953</v>
      </c>
      <c r="N905">
        <v>0</v>
      </c>
    </row>
    <row r="906" spans="1:14">
      <c r="A906" t="s">
        <v>135</v>
      </c>
      <c r="B906" t="s">
        <v>1575</v>
      </c>
      <c r="C906" t="s">
        <v>557</v>
      </c>
      <c r="D906" t="s">
        <v>867</v>
      </c>
      <c r="E906" t="s">
        <v>610</v>
      </c>
      <c r="F906">
        <v>2697</v>
      </c>
      <c r="G906">
        <v>7</v>
      </c>
      <c r="H906">
        <v>2</v>
      </c>
      <c r="I906">
        <v>0</v>
      </c>
      <c r="J906">
        <v>1</v>
      </c>
      <c r="K906">
        <v>9</v>
      </c>
      <c r="L906">
        <v>0</v>
      </c>
      <c r="M906">
        <v>0</v>
      </c>
      <c r="N906">
        <v>0</v>
      </c>
    </row>
    <row r="907" spans="1:14">
      <c r="A907" t="s">
        <v>135</v>
      </c>
      <c r="B907" t="s">
        <v>1576</v>
      </c>
      <c r="C907" t="s">
        <v>553</v>
      </c>
      <c r="D907" t="s">
        <v>569</v>
      </c>
      <c r="E907" t="s">
        <v>570</v>
      </c>
      <c r="F907">
        <v>2862</v>
      </c>
      <c r="G907">
        <v>1</v>
      </c>
      <c r="H907">
        <v>5</v>
      </c>
      <c r="I907">
        <v>434</v>
      </c>
      <c r="J907">
        <v>1</v>
      </c>
      <c r="K907">
        <v>6</v>
      </c>
      <c r="L907">
        <v>0</v>
      </c>
      <c r="M907">
        <v>0</v>
      </c>
      <c r="N907">
        <v>1</v>
      </c>
    </row>
    <row r="908" spans="1:14">
      <c r="A908" t="s">
        <v>135</v>
      </c>
      <c r="B908" t="s">
        <v>1577</v>
      </c>
      <c r="C908" t="s">
        <v>575</v>
      </c>
      <c r="D908" t="s">
        <v>973</v>
      </c>
      <c r="E908" t="s">
        <v>610</v>
      </c>
      <c r="F908">
        <v>1823</v>
      </c>
      <c r="G908">
        <v>8</v>
      </c>
      <c r="H908">
        <v>4</v>
      </c>
      <c r="I908">
        <v>0</v>
      </c>
      <c r="J908">
        <v>1</v>
      </c>
      <c r="K908">
        <v>12</v>
      </c>
      <c r="L908">
        <v>1</v>
      </c>
      <c r="M908">
        <v>0.59240000000000004</v>
      </c>
      <c r="N908">
        <v>0</v>
      </c>
    </row>
    <row r="909" spans="1:14">
      <c r="A909" t="s">
        <v>135</v>
      </c>
      <c r="B909" t="s">
        <v>1578</v>
      </c>
      <c r="C909" t="s">
        <v>553</v>
      </c>
      <c r="I909">
        <v>955</v>
      </c>
      <c r="N909">
        <v>1</v>
      </c>
    </row>
    <row r="910" spans="1:14">
      <c r="A910" t="s">
        <v>135</v>
      </c>
      <c r="B910" t="s">
        <v>1579</v>
      </c>
      <c r="C910" t="s">
        <v>572</v>
      </c>
      <c r="D910" t="s">
        <v>691</v>
      </c>
      <c r="E910" t="s">
        <v>570</v>
      </c>
      <c r="F910">
        <v>2070</v>
      </c>
      <c r="G910">
        <v>0</v>
      </c>
      <c r="H910">
        <v>0</v>
      </c>
      <c r="I910">
        <v>0</v>
      </c>
      <c r="J910">
        <v>1</v>
      </c>
      <c r="K910">
        <v>0</v>
      </c>
      <c r="L910">
        <v>0</v>
      </c>
      <c r="M910">
        <v>0</v>
      </c>
      <c r="N910">
        <v>0</v>
      </c>
    </row>
    <row r="911" spans="1:14">
      <c r="A911" t="s">
        <v>135</v>
      </c>
      <c r="B911" t="s">
        <v>1580</v>
      </c>
      <c r="C911" t="s">
        <v>572</v>
      </c>
      <c r="I911">
        <v>1020</v>
      </c>
      <c r="N911">
        <v>1</v>
      </c>
    </row>
    <row r="912" spans="1:14">
      <c r="A912" t="s">
        <v>119</v>
      </c>
      <c r="B912" t="s">
        <v>1581</v>
      </c>
      <c r="C912" t="s">
        <v>572</v>
      </c>
      <c r="I912">
        <v>0</v>
      </c>
      <c r="N912">
        <v>0</v>
      </c>
    </row>
    <row r="913" spans="1:14">
      <c r="A913" t="s">
        <v>119</v>
      </c>
      <c r="B913" t="s">
        <v>1582</v>
      </c>
      <c r="C913" t="s">
        <v>553</v>
      </c>
      <c r="I913">
        <v>0</v>
      </c>
      <c r="N913">
        <v>0</v>
      </c>
    </row>
    <row r="914" spans="1:14">
      <c r="A914" t="s">
        <v>119</v>
      </c>
      <c r="B914" t="s">
        <v>1583</v>
      </c>
      <c r="C914" t="s">
        <v>557</v>
      </c>
      <c r="I914">
        <v>0</v>
      </c>
      <c r="N914">
        <v>0</v>
      </c>
    </row>
    <row r="915" spans="1:14">
      <c r="A915" t="s">
        <v>119</v>
      </c>
      <c r="B915" t="s">
        <v>1584</v>
      </c>
      <c r="C915" t="s">
        <v>553</v>
      </c>
      <c r="I915">
        <v>0</v>
      </c>
      <c r="N915">
        <v>0</v>
      </c>
    </row>
    <row r="916" spans="1:14">
      <c r="A916" t="s">
        <v>119</v>
      </c>
      <c r="B916" t="s">
        <v>1585</v>
      </c>
      <c r="C916" t="s">
        <v>575</v>
      </c>
      <c r="I916">
        <v>0</v>
      </c>
      <c r="N916">
        <v>0</v>
      </c>
    </row>
    <row r="917" spans="1:14">
      <c r="A917" t="s">
        <v>119</v>
      </c>
      <c r="B917" t="s">
        <v>1586</v>
      </c>
      <c r="C917" t="s">
        <v>557</v>
      </c>
      <c r="I917">
        <v>0</v>
      </c>
      <c r="N917">
        <v>0</v>
      </c>
    </row>
    <row r="918" spans="1:14">
      <c r="A918" t="s">
        <v>119</v>
      </c>
      <c r="B918" t="s">
        <v>1587</v>
      </c>
      <c r="C918" t="s">
        <v>557</v>
      </c>
      <c r="I918">
        <v>0</v>
      </c>
      <c r="N918">
        <v>0</v>
      </c>
    </row>
    <row r="919" spans="1:14">
      <c r="A919" t="s">
        <v>119</v>
      </c>
      <c r="B919" t="s">
        <v>1588</v>
      </c>
      <c r="C919" t="s">
        <v>553</v>
      </c>
      <c r="I919">
        <v>0</v>
      </c>
      <c r="N919">
        <v>0</v>
      </c>
    </row>
    <row r="920" spans="1:14">
      <c r="A920" t="s">
        <v>119</v>
      </c>
      <c r="B920" t="s">
        <v>1589</v>
      </c>
      <c r="C920" t="s">
        <v>557</v>
      </c>
      <c r="I920">
        <v>0</v>
      </c>
      <c r="N920">
        <v>0</v>
      </c>
    </row>
    <row r="921" spans="1:14">
      <c r="A921" t="s">
        <v>119</v>
      </c>
      <c r="B921" t="s">
        <v>1590</v>
      </c>
      <c r="C921" t="s">
        <v>553</v>
      </c>
      <c r="I921">
        <v>0</v>
      </c>
      <c r="N921">
        <v>0</v>
      </c>
    </row>
    <row r="922" spans="1:14">
      <c r="A922" t="s">
        <v>119</v>
      </c>
      <c r="B922" t="s">
        <v>1591</v>
      </c>
      <c r="C922" t="s">
        <v>575</v>
      </c>
      <c r="I922">
        <v>0</v>
      </c>
      <c r="N922">
        <v>0</v>
      </c>
    </row>
    <row r="923" spans="1:14">
      <c r="A923" t="s">
        <v>119</v>
      </c>
      <c r="B923" t="s">
        <v>1592</v>
      </c>
      <c r="C923" t="s">
        <v>557</v>
      </c>
      <c r="I923">
        <v>0</v>
      </c>
      <c r="N923">
        <v>0</v>
      </c>
    </row>
    <row r="924" spans="1:14">
      <c r="A924" t="s">
        <v>119</v>
      </c>
      <c r="B924" t="s">
        <v>1593</v>
      </c>
      <c r="C924" t="s">
        <v>553</v>
      </c>
      <c r="I924">
        <v>0</v>
      </c>
      <c r="N924">
        <v>0</v>
      </c>
    </row>
    <row r="925" spans="1:14">
      <c r="A925" t="s">
        <v>119</v>
      </c>
      <c r="B925" t="s">
        <v>1594</v>
      </c>
      <c r="C925" t="s">
        <v>557</v>
      </c>
      <c r="I925">
        <v>0</v>
      </c>
      <c r="N925">
        <v>0</v>
      </c>
    </row>
    <row r="926" spans="1:14">
      <c r="A926" t="s">
        <v>119</v>
      </c>
      <c r="B926" t="s">
        <v>1595</v>
      </c>
      <c r="C926" t="s">
        <v>557</v>
      </c>
      <c r="I926">
        <v>0</v>
      </c>
      <c r="N926">
        <v>0</v>
      </c>
    </row>
    <row r="927" spans="1:14">
      <c r="A927" t="s">
        <v>119</v>
      </c>
      <c r="B927" t="s">
        <v>1596</v>
      </c>
      <c r="C927" t="s">
        <v>553</v>
      </c>
      <c r="I927">
        <v>0</v>
      </c>
      <c r="N927">
        <v>0</v>
      </c>
    </row>
    <row r="928" spans="1:14">
      <c r="A928" t="s">
        <v>119</v>
      </c>
      <c r="B928" t="s">
        <v>1597</v>
      </c>
      <c r="C928" t="s">
        <v>557</v>
      </c>
      <c r="I928">
        <v>0</v>
      </c>
      <c r="N928">
        <v>0</v>
      </c>
    </row>
    <row r="929" spans="1:14">
      <c r="A929" t="s">
        <v>119</v>
      </c>
      <c r="B929" t="s">
        <v>1598</v>
      </c>
      <c r="C929" t="s">
        <v>575</v>
      </c>
      <c r="I929">
        <v>0</v>
      </c>
      <c r="N929">
        <v>0</v>
      </c>
    </row>
    <row r="930" spans="1:14">
      <c r="A930" t="s">
        <v>119</v>
      </c>
      <c r="B930" t="s">
        <v>1599</v>
      </c>
      <c r="C930" t="s">
        <v>575</v>
      </c>
      <c r="I930">
        <v>0</v>
      </c>
      <c r="N930">
        <v>0</v>
      </c>
    </row>
    <row r="931" spans="1:14">
      <c r="A931" t="s">
        <v>119</v>
      </c>
      <c r="B931" t="s">
        <v>1600</v>
      </c>
      <c r="C931" t="s">
        <v>557</v>
      </c>
      <c r="I931">
        <v>0</v>
      </c>
      <c r="N931">
        <v>0</v>
      </c>
    </row>
    <row r="932" spans="1:14">
      <c r="A932" t="s">
        <v>119</v>
      </c>
      <c r="B932" t="s">
        <v>1601</v>
      </c>
      <c r="C932" t="s">
        <v>575</v>
      </c>
      <c r="I932">
        <v>0</v>
      </c>
      <c r="N932">
        <v>0</v>
      </c>
    </row>
    <row r="933" spans="1:14">
      <c r="A933" t="s">
        <v>119</v>
      </c>
      <c r="B933" t="s">
        <v>1602</v>
      </c>
      <c r="C933" t="s">
        <v>553</v>
      </c>
      <c r="I933">
        <v>0</v>
      </c>
      <c r="N933">
        <v>0</v>
      </c>
    </row>
    <row r="934" spans="1:14">
      <c r="A934" t="s">
        <v>119</v>
      </c>
      <c r="B934" t="s">
        <v>1603</v>
      </c>
      <c r="C934" t="s">
        <v>572</v>
      </c>
      <c r="I934">
        <v>0</v>
      </c>
      <c r="N934">
        <v>0</v>
      </c>
    </row>
    <row r="935" spans="1:14">
      <c r="A935" t="s">
        <v>119</v>
      </c>
      <c r="B935" t="s">
        <v>1604</v>
      </c>
      <c r="C935" t="s">
        <v>575</v>
      </c>
      <c r="I935">
        <v>0</v>
      </c>
      <c r="N935">
        <v>0</v>
      </c>
    </row>
    <row r="936" spans="1:14">
      <c r="A936" t="s">
        <v>119</v>
      </c>
      <c r="B936" t="s">
        <v>1605</v>
      </c>
      <c r="C936" t="s">
        <v>575</v>
      </c>
      <c r="I936">
        <v>0</v>
      </c>
      <c r="N936">
        <v>0</v>
      </c>
    </row>
    <row r="937" spans="1:14">
      <c r="A937" t="s">
        <v>119</v>
      </c>
      <c r="B937" t="s">
        <v>1606</v>
      </c>
      <c r="C937" t="s">
        <v>572</v>
      </c>
      <c r="I937">
        <v>0</v>
      </c>
      <c r="N937">
        <v>0</v>
      </c>
    </row>
    <row r="938" spans="1:14">
      <c r="A938" t="s">
        <v>129</v>
      </c>
      <c r="B938" t="s">
        <v>1607</v>
      </c>
      <c r="C938" t="s">
        <v>572</v>
      </c>
      <c r="I938">
        <v>0</v>
      </c>
      <c r="N938">
        <v>0</v>
      </c>
    </row>
    <row r="939" spans="1:14">
      <c r="A939" t="s">
        <v>129</v>
      </c>
      <c r="B939" t="s">
        <v>1608</v>
      </c>
      <c r="C939" t="s">
        <v>553</v>
      </c>
      <c r="D939" t="s">
        <v>1147</v>
      </c>
      <c r="E939" t="s">
        <v>561</v>
      </c>
      <c r="F939">
        <v>1352</v>
      </c>
      <c r="G939">
        <v>2</v>
      </c>
      <c r="H939">
        <v>4</v>
      </c>
      <c r="I939">
        <v>0</v>
      </c>
      <c r="J939">
        <v>1</v>
      </c>
      <c r="K939">
        <v>6</v>
      </c>
      <c r="L939">
        <v>0</v>
      </c>
      <c r="M939">
        <v>0</v>
      </c>
      <c r="N939">
        <v>0</v>
      </c>
    </row>
    <row r="940" spans="1:14">
      <c r="A940" t="s">
        <v>129</v>
      </c>
      <c r="B940" t="s">
        <v>1609</v>
      </c>
      <c r="C940" t="s">
        <v>557</v>
      </c>
      <c r="I940">
        <v>0</v>
      </c>
      <c r="N940">
        <v>0</v>
      </c>
    </row>
    <row r="941" spans="1:14">
      <c r="A941" t="s">
        <v>129</v>
      </c>
      <c r="B941" t="s">
        <v>1610</v>
      </c>
      <c r="C941" t="s">
        <v>553</v>
      </c>
      <c r="I941">
        <v>0</v>
      </c>
      <c r="N941">
        <v>0</v>
      </c>
    </row>
    <row r="942" spans="1:14">
      <c r="A942" t="s">
        <v>129</v>
      </c>
      <c r="B942" t="s">
        <v>1611</v>
      </c>
      <c r="C942" t="s">
        <v>575</v>
      </c>
      <c r="I942">
        <v>0</v>
      </c>
      <c r="N942">
        <v>0</v>
      </c>
    </row>
    <row r="943" spans="1:14">
      <c r="A943" t="s">
        <v>129</v>
      </c>
      <c r="B943" t="s">
        <v>1612</v>
      </c>
      <c r="C943" t="s">
        <v>553</v>
      </c>
      <c r="I943">
        <v>0</v>
      </c>
      <c r="N943">
        <v>0</v>
      </c>
    </row>
    <row r="944" spans="1:14">
      <c r="A944" t="s">
        <v>129</v>
      </c>
      <c r="B944" t="s">
        <v>1613</v>
      </c>
      <c r="C944" t="s">
        <v>557</v>
      </c>
      <c r="I944">
        <v>0</v>
      </c>
      <c r="N944">
        <v>0</v>
      </c>
    </row>
    <row r="945" spans="1:14">
      <c r="A945" t="s">
        <v>129</v>
      </c>
      <c r="B945" t="s">
        <v>1614</v>
      </c>
      <c r="C945" t="s">
        <v>557</v>
      </c>
      <c r="I945">
        <v>0</v>
      </c>
      <c r="N945">
        <v>0</v>
      </c>
    </row>
    <row r="946" spans="1:14">
      <c r="A946" t="s">
        <v>129</v>
      </c>
      <c r="B946" t="s">
        <v>1615</v>
      </c>
      <c r="C946" t="s">
        <v>557</v>
      </c>
      <c r="I946">
        <v>0</v>
      </c>
      <c r="N946">
        <v>0</v>
      </c>
    </row>
    <row r="947" spans="1:14">
      <c r="A947" t="s">
        <v>129</v>
      </c>
      <c r="B947" t="s">
        <v>1616</v>
      </c>
      <c r="C947" t="s">
        <v>553</v>
      </c>
      <c r="I947">
        <v>0</v>
      </c>
      <c r="N947">
        <v>0</v>
      </c>
    </row>
    <row r="948" spans="1:14">
      <c r="A948" t="s">
        <v>129</v>
      </c>
      <c r="B948" t="s">
        <v>1617</v>
      </c>
      <c r="C948" t="s">
        <v>557</v>
      </c>
      <c r="I948">
        <v>0</v>
      </c>
      <c r="N948">
        <v>0</v>
      </c>
    </row>
    <row r="949" spans="1:14">
      <c r="A949" t="s">
        <v>129</v>
      </c>
      <c r="B949" t="s">
        <v>1618</v>
      </c>
      <c r="C949" t="s">
        <v>553</v>
      </c>
      <c r="I949">
        <v>0</v>
      </c>
      <c r="N949">
        <v>0</v>
      </c>
    </row>
    <row r="950" spans="1:14">
      <c r="A950" t="s">
        <v>129</v>
      </c>
      <c r="B950" t="s">
        <v>1619</v>
      </c>
      <c r="C950" t="s">
        <v>557</v>
      </c>
      <c r="I950">
        <v>0</v>
      </c>
      <c r="N950">
        <v>0</v>
      </c>
    </row>
    <row r="951" spans="1:14">
      <c r="A951" t="s">
        <v>129</v>
      </c>
      <c r="B951" t="s">
        <v>1620</v>
      </c>
      <c r="C951" t="s">
        <v>553</v>
      </c>
      <c r="I951">
        <v>0</v>
      </c>
      <c r="N951">
        <v>0</v>
      </c>
    </row>
    <row r="952" spans="1:14">
      <c r="A952" t="s">
        <v>129</v>
      </c>
      <c r="B952" t="s">
        <v>1621</v>
      </c>
      <c r="C952" t="s">
        <v>557</v>
      </c>
      <c r="I952">
        <v>0</v>
      </c>
      <c r="N952">
        <v>0</v>
      </c>
    </row>
    <row r="953" spans="1:14">
      <c r="A953" t="s">
        <v>129</v>
      </c>
      <c r="B953" t="s">
        <v>1622</v>
      </c>
      <c r="C953" t="s">
        <v>575</v>
      </c>
      <c r="I953">
        <v>0</v>
      </c>
      <c r="N953">
        <v>0</v>
      </c>
    </row>
    <row r="954" spans="1:14">
      <c r="A954" t="s">
        <v>129</v>
      </c>
      <c r="B954" t="s">
        <v>1623</v>
      </c>
      <c r="C954" t="s">
        <v>557</v>
      </c>
      <c r="I954">
        <v>0</v>
      </c>
      <c r="N954">
        <v>0</v>
      </c>
    </row>
    <row r="955" spans="1:14">
      <c r="A955" t="s">
        <v>129</v>
      </c>
      <c r="B955" t="s">
        <v>1624</v>
      </c>
      <c r="C955" t="s">
        <v>557</v>
      </c>
      <c r="I955">
        <v>0</v>
      </c>
      <c r="N955">
        <v>0</v>
      </c>
    </row>
    <row r="956" spans="1:14">
      <c r="A956" t="s">
        <v>129</v>
      </c>
      <c r="B956" t="s">
        <v>1625</v>
      </c>
      <c r="C956" t="s">
        <v>572</v>
      </c>
      <c r="I956">
        <v>0</v>
      </c>
      <c r="N956">
        <v>0</v>
      </c>
    </row>
    <row r="957" spans="1:14">
      <c r="A957" t="s">
        <v>129</v>
      </c>
      <c r="B957" t="s">
        <v>1626</v>
      </c>
      <c r="C957" t="s">
        <v>557</v>
      </c>
      <c r="I957">
        <v>0</v>
      </c>
      <c r="N957">
        <v>0</v>
      </c>
    </row>
    <row r="958" spans="1:14">
      <c r="A958" t="s">
        <v>129</v>
      </c>
      <c r="B958" t="s">
        <v>1627</v>
      </c>
      <c r="C958" t="s">
        <v>553</v>
      </c>
      <c r="I958">
        <v>0</v>
      </c>
      <c r="N958">
        <v>0</v>
      </c>
    </row>
    <row r="959" spans="1:14">
      <c r="A959" t="s">
        <v>129</v>
      </c>
      <c r="B959" t="s">
        <v>1628</v>
      </c>
      <c r="C959" t="s">
        <v>572</v>
      </c>
      <c r="I959">
        <v>0</v>
      </c>
      <c r="N959">
        <v>0</v>
      </c>
    </row>
    <row r="960" spans="1:14">
      <c r="A960" t="s">
        <v>129</v>
      </c>
      <c r="B960" t="s">
        <v>1629</v>
      </c>
      <c r="C960" t="s">
        <v>553</v>
      </c>
      <c r="I960">
        <v>0</v>
      </c>
      <c r="N960">
        <v>0</v>
      </c>
    </row>
    <row r="961" spans="1:14">
      <c r="A961" t="s">
        <v>129</v>
      </c>
      <c r="B961" t="s">
        <v>1630</v>
      </c>
      <c r="C961" t="s">
        <v>575</v>
      </c>
      <c r="I961">
        <v>0</v>
      </c>
      <c r="N961">
        <v>0</v>
      </c>
    </row>
    <row r="962" spans="1:14">
      <c r="A962" t="s">
        <v>129</v>
      </c>
      <c r="B962" t="s">
        <v>1631</v>
      </c>
      <c r="C962" t="s">
        <v>553</v>
      </c>
      <c r="I962">
        <v>0</v>
      </c>
      <c r="N962">
        <v>0</v>
      </c>
    </row>
    <row r="963" spans="1:14">
      <c r="A963" t="s">
        <v>129</v>
      </c>
      <c r="B963" t="s">
        <v>1632</v>
      </c>
      <c r="C963" t="s">
        <v>557</v>
      </c>
      <c r="I963">
        <v>0</v>
      </c>
      <c r="N963">
        <v>0</v>
      </c>
    </row>
    <row r="964" spans="1:14">
      <c r="A964" t="s">
        <v>141</v>
      </c>
      <c r="B964" t="s">
        <v>1633</v>
      </c>
      <c r="C964" t="s">
        <v>557</v>
      </c>
      <c r="D964" t="s">
        <v>859</v>
      </c>
      <c r="E964" t="s">
        <v>566</v>
      </c>
      <c r="F964">
        <v>1601</v>
      </c>
      <c r="G964">
        <v>1</v>
      </c>
      <c r="H964">
        <v>0</v>
      </c>
      <c r="I964">
        <v>0</v>
      </c>
      <c r="J964">
        <v>1</v>
      </c>
      <c r="K964">
        <v>1</v>
      </c>
      <c r="L964">
        <v>0</v>
      </c>
      <c r="M964">
        <v>0</v>
      </c>
      <c r="N964">
        <v>0</v>
      </c>
    </row>
    <row r="965" spans="1:14">
      <c r="A965" t="s">
        <v>141</v>
      </c>
      <c r="B965" t="s">
        <v>1634</v>
      </c>
      <c r="C965" t="s">
        <v>572</v>
      </c>
      <c r="D965" t="s">
        <v>926</v>
      </c>
      <c r="E965" t="s">
        <v>570</v>
      </c>
      <c r="F965">
        <v>45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</row>
    <row r="966" spans="1:14">
      <c r="A966" t="s">
        <v>141</v>
      </c>
      <c r="B966" t="s">
        <v>1635</v>
      </c>
      <c r="C966" t="s">
        <v>553</v>
      </c>
      <c r="I966">
        <v>0</v>
      </c>
      <c r="N966">
        <v>0</v>
      </c>
    </row>
    <row r="967" spans="1:14">
      <c r="A967" t="s">
        <v>141</v>
      </c>
      <c r="B967" t="s">
        <v>1636</v>
      </c>
      <c r="C967" t="s">
        <v>557</v>
      </c>
      <c r="D967" t="s">
        <v>715</v>
      </c>
      <c r="E967" t="s">
        <v>566</v>
      </c>
      <c r="F967">
        <v>2791</v>
      </c>
      <c r="G967">
        <v>10</v>
      </c>
      <c r="H967">
        <v>3</v>
      </c>
      <c r="I967">
        <v>698</v>
      </c>
      <c r="J967">
        <v>1</v>
      </c>
      <c r="K967">
        <v>13</v>
      </c>
      <c r="L967">
        <v>0</v>
      </c>
      <c r="M967">
        <v>0</v>
      </c>
      <c r="N967">
        <v>0</v>
      </c>
    </row>
    <row r="968" spans="1:14">
      <c r="A968" t="s">
        <v>141</v>
      </c>
      <c r="B968" t="s">
        <v>1637</v>
      </c>
      <c r="C968" t="s">
        <v>557</v>
      </c>
      <c r="D968" t="s">
        <v>597</v>
      </c>
      <c r="E968" t="s">
        <v>570</v>
      </c>
      <c r="F968">
        <v>2137</v>
      </c>
      <c r="G968">
        <v>5</v>
      </c>
      <c r="H968">
        <v>4</v>
      </c>
      <c r="I968">
        <v>0</v>
      </c>
      <c r="J968">
        <v>1</v>
      </c>
      <c r="K968">
        <v>9</v>
      </c>
      <c r="L968">
        <v>0</v>
      </c>
      <c r="M968">
        <v>0</v>
      </c>
      <c r="N968">
        <v>0</v>
      </c>
    </row>
    <row r="969" spans="1:14">
      <c r="A969" t="s">
        <v>141</v>
      </c>
      <c r="B969" t="s">
        <v>1638</v>
      </c>
      <c r="C969" t="s">
        <v>553</v>
      </c>
      <c r="D969" t="s">
        <v>599</v>
      </c>
      <c r="E969" t="s">
        <v>570</v>
      </c>
      <c r="F969">
        <v>1176</v>
      </c>
      <c r="G969">
        <v>1</v>
      </c>
      <c r="H969">
        <v>0</v>
      </c>
      <c r="I969">
        <v>486</v>
      </c>
      <c r="J969">
        <v>1</v>
      </c>
      <c r="K969">
        <v>1</v>
      </c>
      <c r="L969">
        <v>0</v>
      </c>
      <c r="M969">
        <v>0</v>
      </c>
      <c r="N969">
        <v>1</v>
      </c>
    </row>
    <row r="970" spans="1:14">
      <c r="A970" t="s">
        <v>141</v>
      </c>
      <c r="B970" t="s">
        <v>1639</v>
      </c>
      <c r="C970" t="s">
        <v>557</v>
      </c>
      <c r="D970" t="s">
        <v>626</v>
      </c>
      <c r="E970" t="s">
        <v>570</v>
      </c>
      <c r="F970">
        <v>113</v>
      </c>
      <c r="G970">
        <v>0</v>
      </c>
      <c r="H970">
        <v>1</v>
      </c>
      <c r="I970">
        <v>0</v>
      </c>
      <c r="J970">
        <v>1</v>
      </c>
      <c r="K970">
        <v>1</v>
      </c>
      <c r="L970">
        <v>0</v>
      </c>
      <c r="M970">
        <v>0</v>
      </c>
      <c r="N970">
        <v>0</v>
      </c>
    </row>
    <row r="971" spans="1:14">
      <c r="A971" t="s">
        <v>141</v>
      </c>
      <c r="B971" t="s">
        <v>1640</v>
      </c>
      <c r="C971" t="s">
        <v>553</v>
      </c>
      <c r="D971" t="s">
        <v>1093</v>
      </c>
      <c r="E971" t="s">
        <v>570</v>
      </c>
      <c r="F971">
        <v>241</v>
      </c>
      <c r="G971">
        <v>0</v>
      </c>
      <c r="H971">
        <v>0</v>
      </c>
      <c r="I971">
        <v>0</v>
      </c>
      <c r="J971">
        <v>1</v>
      </c>
      <c r="K971">
        <v>0</v>
      </c>
      <c r="L971">
        <v>0</v>
      </c>
      <c r="M971">
        <v>0</v>
      </c>
      <c r="N971">
        <v>0</v>
      </c>
    </row>
    <row r="972" spans="1:14">
      <c r="A972" t="s">
        <v>141</v>
      </c>
      <c r="B972" t="s">
        <v>1641</v>
      </c>
      <c r="C972" t="s">
        <v>553</v>
      </c>
      <c r="I972">
        <v>0</v>
      </c>
      <c r="N972">
        <v>0</v>
      </c>
    </row>
    <row r="973" spans="1:14">
      <c r="A973" t="s">
        <v>141</v>
      </c>
      <c r="B973" t="s">
        <v>1642</v>
      </c>
      <c r="C973" t="s">
        <v>575</v>
      </c>
      <c r="I973">
        <v>0</v>
      </c>
      <c r="N973">
        <v>0</v>
      </c>
    </row>
    <row r="974" spans="1:14">
      <c r="A974" t="s">
        <v>141</v>
      </c>
      <c r="B974" t="s">
        <v>1643</v>
      </c>
      <c r="C974" t="s">
        <v>575</v>
      </c>
      <c r="D974" t="s">
        <v>961</v>
      </c>
      <c r="E974" t="s">
        <v>566</v>
      </c>
      <c r="F974">
        <v>1893</v>
      </c>
      <c r="G974">
        <v>6</v>
      </c>
      <c r="H974">
        <v>2</v>
      </c>
      <c r="I974">
        <v>0</v>
      </c>
      <c r="J974">
        <v>1</v>
      </c>
      <c r="K974">
        <v>8</v>
      </c>
      <c r="L974">
        <v>1</v>
      </c>
      <c r="M974">
        <v>0.38030000000000003</v>
      </c>
      <c r="N974">
        <v>0</v>
      </c>
    </row>
    <row r="975" spans="1:14">
      <c r="A975" t="s">
        <v>141</v>
      </c>
      <c r="B975" t="s">
        <v>1644</v>
      </c>
      <c r="C975" t="s">
        <v>557</v>
      </c>
      <c r="I975">
        <v>0</v>
      </c>
      <c r="N975">
        <v>0</v>
      </c>
    </row>
    <row r="976" spans="1:14">
      <c r="A976" t="s">
        <v>141</v>
      </c>
      <c r="B976" t="s">
        <v>1645</v>
      </c>
      <c r="C976" t="s">
        <v>557</v>
      </c>
      <c r="I976">
        <v>0</v>
      </c>
      <c r="N976">
        <v>0</v>
      </c>
    </row>
    <row r="977" spans="1:14">
      <c r="A977" t="s">
        <v>141</v>
      </c>
      <c r="B977" t="s">
        <v>1646</v>
      </c>
      <c r="C977" t="s">
        <v>557</v>
      </c>
      <c r="D977" t="s">
        <v>626</v>
      </c>
      <c r="E977" t="s">
        <v>570</v>
      </c>
      <c r="F977">
        <v>994</v>
      </c>
      <c r="G977">
        <v>2</v>
      </c>
      <c r="H977">
        <v>0</v>
      </c>
      <c r="I977">
        <v>0</v>
      </c>
      <c r="J977">
        <v>1</v>
      </c>
      <c r="K977">
        <v>2</v>
      </c>
      <c r="L977">
        <v>0</v>
      </c>
      <c r="M977">
        <v>0</v>
      </c>
      <c r="N977">
        <v>0</v>
      </c>
    </row>
    <row r="978" spans="1:14">
      <c r="A978" t="s">
        <v>141</v>
      </c>
      <c r="B978" t="s">
        <v>1647</v>
      </c>
      <c r="C978" t="s">
        <v>553</v>
      </c>
      <c r="I978">
        <v>0</v>
      </c>
      <c r="N978">
        <v>0</v>
      </c>
    </row>
    <row r="979" spans="1:14">
      <c r="A979" t="s">
        <v>141</v>
      </c>
      <c r="B979" t="s">
        <v>1648</v>
      </c>
      <c r="C979" t="s">
        <v>553</v>
      </c>
      <c r="D979" t="s">
        <v>786</v>
      </c>
      <c r="E979" t="s">
        <v>570</v>
      </c>
      <c r="F979">
        <v>691</v>
      </c>
      <c r="G979">
        <v>0</v>
      </c>
      <c r="H979">
        <v>0</v>
      </c>
      <c r="I979">
        <v>0</v>
      </c>
      <c r="J979">
        <v>1</v>
      </c>
      <c r="K979">
        <v>0</v>
      </c>
      <c r="L979">
        <v>0</v>
      </c>
      <c r="M979">
        <v>0</v>
      </c>
      <c r="N979">
        <v>0</v>
      </c>
    </row>
    <row r="980" spans="1:14">
      <c r="A980" t="s">
        <v>141</v>
      </c>
      <c r="B980" t="s">
        <v>1649</v>
      </c>
      <c r="C980" t="s">
        <v>575</v>
      </c>
      <c r="I980">
        <v>0</v>
      </c>
      <c r="N980">
        <v>0</v>
      </c>
    </row>
    <row r="981" spans="1:14">
      <c r="A981" t="s">
        <v>141</v>
      </c>
      <c r="B981" t="s">
        <v>1650</v>
      </c>
      <c r="C981" t="s">
        <v>553</v>
      </c>
      <c r="I981">
        <v>0</v>
      </c>
      <c r="N981">
        <v>0</v>
      </c>
    </row>
    <row r="982" spans="1:14">
      <c r="A982" t="s">
        <v>141</v>
      </c>
      <c r="B982" t="s">
        <v>1651</v>
      </c>
      <c r="C982" t="s">
        <v>557</v>
      </c>
      <c r="I982">
        <v>0</v>
      </c>
      <c r="N982">
        <v>0</v>
      </c>
    </row>
    <row r="983" spans="1:14">
      <c r="A983" t="s">
        <v>141</v>
      </c>
      <c r="B983" t="s">
        <v>1652</v>
      </c>
      <c r="C983" t="s">
        <v>575</v>
      </c>
      <c r="I983">
        <v>0</v>
      </c>
      <c r="N983">
        <v>0</v>
      </c>
    </row>
    <row r="984" spans="1:14">
      <c r="A984" t="s">
        <v>141</v>
      </c>
      <c r="B984" t="s">
        <v>1653</v>
      </c>
      <c r="C984" t="s">
        <v>557</v>
      </c>
      <c r="D984" t="s">
        <v>604</v>
      </c>
      <c r="E984" t="s">
        <v>570</v>
      </c>
      <c r="F984">
        <v>18</v>
      </c>
      <c r="G984">
        <v>0</v>
      </c>
      <c r="H984">
        <v>0</v>
      </c>
      <c r="I984">
        <v>0</v>
      </c>
      <c r="J984">
        <v>1</v>
      </c>
      <c r="K984">
        <v>0</v>
      </c>
      <c r="L984">
        <v>0</v>
      </c>
      <c r="M984">
        <v>0</v>
      </c>
      <c r="N984">
        <v>0</v>
      </c>
    </row>
    <row r="985" spans="1:14">
      <c r="A985" t="s">
        <v>141</v>
      </c>
      <c r="B985" t="s">
        <v>1654</v>
      </c>
      <c r="C985" t="s">
        <v>572</v>
      </c>
      <c r="I985">
        <v>0</v>
      </c>
      <c r="N985">
        <v>0</v>
      </c>
    </row>
    <row r="986" spans="1:14">
      <c r="A986" t="s">
        <v>141</v>
      </c>
      <c r="B986" t="s">
        <v>1655</v>
      </c>
      <c r="C986" t="s">
        <v>575</v>
      </c>
      <c r="I986">
        <v>0</v>
      </c>
      <c r="N986">
        <v>0</v>
      </c>
    </row>
    <row r="987" spans="1:14">
      <c r="A987" t="s">
        <v>141</v>
      </c>
      <c r="B987" t="s">
        <v>1656</v>
      </c>
      <c r="C987" t="s">
        <v>553</v>
      </c>
      <c r="I987">
        <v>0</v>
      </c>
      <c r="N987">
        <v>0</v>
      </c>
    </row>
    <row r="988" spans="1:14">
      <c r="A988" t="s">
        <v>141</v>
      </c>
      <c r="B988" t="s">
        <v>1657</v>
      </c>
      <c r="C988" t="s">
        <v>572</v>
      </c>
      <c r="I988">
        <v>0</v>
      </c>
      <c r="N988">
        <v>0</v>
      </c>
    </row>
    <row r="989" spans="1:14">
      <c r="A989" t="s">
        <v>141</v>
      </c>
      <c r="B989" t="s">
        <v>1658</v>
      </c>
      <c r="C989" t="s">
        <v>553</v>
      </c>
      <c r="I989">
        <v>0</v>
      </c>
      <c r="N989">
        <v>0</v>
      </c>
    </row>
    <row r="990" spans="1:14">
      <c r="A990" t="s">
        <v>156</v>
      </c>
      <c r="B990" t="s">
        <v>1659</v>
      </c>
      <c r="C990" t="s">
        <v>553</v>
      </c>
      <c r="D990" t="s">
        <v>1142</v>
      </c>
      <c r="E990" t="s">
        <v>561</v>
      </c>
      <c r="F990">
        <v>1013</v>
      </c>
      <c r="G990">
        <v>0</v>
      </c>
      <c r="H990">
        <v>1</v>
      </c>
      <c r="I990">
        <v>179</v>
      </c>
      <c r="J990">
        <v>1</v>
      </c>
      <c r="K990">
        <v>1</v>
      </c>
      <c r="L990">
        <v>0</v>
      </c>
      <c r="M990">
        <v>0</v>
      </c>
      <c r="N990">
        <v>1</v>
      </c>
    </row>
    <row r="991" spans="1:14">
      <c r="A991" t="s">
        <v>156</v>
      </c>
      <c r="B991" t="s">
        <v>1660</v>
      </c>
      <c r="C991" t="s">
        <v>553</v>
      </c>
      <c r="D991" t="s">
        <v>613</v>
      </c>
      <c r="E991" t="s">
        <v>561</v>
      </c>
      <c r="F991">
        <v>2759</v>
      </c>
      <c r="G991">
        <v>0</v>
      </c>
      <c r="H991">
        <v>2</v>
      </c>
      <c r="I991">
        <v>0</v>
      </c>
      <c r="J991">
        <v>1</v>
      </c>
      <c r="K991">
        <v>2</v>
      </c>
      <c r="L991">
        <v>0</v>
      </c>
      <c r="M991">
        <v>0</v>
      </c>
      <c r="N991">
        <v>0</v>
      </c>
    </row>
    <row r="992" spans="1:14">
      <c r="A992" t="s">
        <v>156</v>
      </c>
      <c r="B992" t="s">
        <v>1661</v>
      </c>
      <c r="C992" t="s">
        <v>557</v>
      </c>
      <c r="D992" t="s">
        <v>862</v>
      </c>
      <c r="E992" t="s">
        <v>570</v>
      </c>
      <c r="F992">
        <v>2174</v>
      </c>
      <c r="G992">
        <v>6</v>
      </c>
      <c r="H992">
        <v>1</v>
      </c>
      <c r="I992">
        <v>0</v>
      </c>
      <c r="J992">
        <v>1</v>
      </c>
      <c r="K992">
        <v>7</v>
      </c>
      <c r="L992">
        <v>0</v>
      </c>
      <c r="M992">
        <v>0</v>
      </c>
      <c r="N992">
        <v>0</v>
      </c>
    </row>
    <row r="993" spans="1:14">
      <c r="A993" t="s">
        <v>156</v>
      </c>
      <c r="B993" t="s">
        <v>1662</v>
      </c>
      <c r="C993" t="s">
        <v>557</v>
      </c>
      <c r="I993">
        <v>0</v>
      </c>
      <c r="N993">
        <v>0</v>
      </c>
    </row>
    <row r="994" spans="1:14">
      <c r="A994" t="s">
        <v>156</v>
      </c>
      <c r="B994" t="s">
        <v>1663</v>
      </c>
      <c r="C994" t="s">
        <v>557</v>
      </c>
      <c r="D994" t="s">
        <v>1093</v>
      </c>
      <c r="E994" t="s">
        <v>570</v>
      </c>
      <c r="F994">
        <v>2093</v>
      </c>
      <c r="G994">
        <v>2</v>
      </c>
      <c r="H994">
        <v>3</v>
      </c>
      <c r="I994">
        <v>0</v>
      </c>
      <c r="J994">
        <v>1</v>
      </c>
      <c r="K994">
        <v>5</v>
      </c>
      <c r="L994">
        <v>0</v>
      </c>
      <c r="M994">
        <v>0</v>
      </c>
      <c r="N994">
        <v>0</v>
      </c>
    </row>
    <row r="995" spans="1:14">
      <c r="A995" t="s">
        <v>156</v>
      </c>
      <c r="B995" t="s">
        <v>1664</v>
      </c>
      <c r="C995" t="s">
        <v>557</v>
      </c>
      <c r="D995" t="s">
        <v>1142</v>
      </c>
      <c r="E995" t="s">
        <v>561</v>
      </c>
      <c r="F995">
        <v>1847</v>
      </c>
      <c r="G995">
        <v>3</v>
      </c>
      <c r="H995">
        <v>4</v>
      </c>
      <c r="I995">
        <v>514</v>
      </c>
      <c r="J995">
        <v>1</v>
      </c>
      <c r="K995">
        <v>7</v>
      </c>
      <c r="L995">
        <v>0</v>
      </c>
      <c r="M995">
        <v>0</v>
      </c>
      <c r="N995">
        <v>0</v>
      </c>
    </row>
    <row r="996" spans="1:14">
      <c r="A996" t="s">
        <v>156</v>
      </c>
      <c r="B996" t="s">
        <v>1665</v>
      </c>
      <c r="C996" t="s">
        <v>557</v>
      </c>
      <c r="D996" t="s">
        <v>824</v>
      </c>
      <c r="E996" t="s">
        <v>610</v>
      </c>
      <c r="F996">
        <v>2131</v>
      </c>
      <c r="G996">
        <v>4</v>
      </c>
      <c r="H996">
        <v>2</v>
      </c>
      <c r="I996">
        <v>525</v>
      </c>
      <c r="J996">
        <v>1</v>
      </c>
      <c r="K996">
        <v>6</v>
      </c>
      <c r="L996">
        <v>0</v>
      </c>
      <c r="M996">
        <v>0</v>
      </c>
      <c r="N996">
        <v>0</v>
      </c>
    </row>
    <row r="997" spans="1:14">
      <c r="A997" t="s">
        <v>156</v>
      </c>
      <c r="B997" t="s">
        <v>1666</v>
      </c>
      <c r="C997" t="s">
        <v>572</v>
      </c>
      <c r="D997" t="s">
        <v>888</v>
      </c>
      <c r="E997" t="s">
        <v>561</v>
      </c>
      <c r="F997">
        <v>2655</v>
      </c>
      <c r="G997">
        <v>0</v>
      </c>
      <c r="H997">
        <v>1</v>
      </c>
      <c r="I997">
        <v>0</v>
      </c>
      <c r="J997">
        <v>1</v>
      </c>
      <c r="K997">
        <v>1</v>
      </c>
      <c r="L997">
        <v>0</v>
      </c>
      <c r="M997">
        <v>0</v>
      </c>
      <c r="N997">
        <v>0</v>
      </c>
    </row>
    <row r="998" spans="1:14">
      <c r="A998" t="s">
        <v>156</v>
      </c>
      <c r="B998" t="s">
        <v>1667</v>
      </c>
      <c r="C998" t="s">
        <v>575</v>
      </c>
      <c r="D998" t="s">
        <v>668</v>
      </c>
      <c r="E998" t="s">
        <v>555</v>
      </c>
      <c r="F998">
        <v>1007</v>
      </c>
      <c r="G998">
        <v>8</v>
      </c>
      <c r="H998">
        <v>1</v>
      </c>
      <c r="I998">
        <v>316</v>
      </c>
      <c r="J998">
        <v>1</v>
      </c>
      <c r="K998">
        <v>9</v>
      </c>
      <c r="L998">
        <v>1</v>
      </c>
      <c r="M998">
        <v>0.8044</v>
      </c>
      <c r="N998">
        <v>0</v>
      </c>
    </row>
    <row r="999" spans="1:14">
      <c r="A999" t="s">
        <v>156</v>
      </c>
      <c r="B999" t="s">
        <v>1668</v>
      </c>
      <c r="C999" t="s">
        <v>553</v>
      </c>
      <c r="I999">
        <v>868</v>
      </c>
      <c r="N999">
        <v>1</v>
      </c>
    </row>
    <row r="1000" spans="1:14">
      <c r="A1000" t="s">
        <v>156</v>
      </c>
      <c r="B1000" t="s">
        <v>1669</v>
      </c>
      <c r="C1000" t="s">
        <v>553</v>
      </c>
      <c r="D1000" t="s">
        <v>780</v>
      </c>
      <c r="E1000" t="s">
        <v>570</v>
      </c>
      <c r="F1000">
        <v>2707</v>
      </c>
      <c r="G1000">
        <v>0</v>
      </c>
      <c r="H1000">
        <v>5</v>
      </c>
      <c r="I1000">
        <v>0</v>
      </c>
      <c r="J1000">
        <v>1</v>
      </c>
      <c r="K1000">
        <v>5</v>
      </c>
      <c r="L1000">
        <v>0</v>
      </c>
      <c r="M1000">
        <v>0</v>
      </c>
      <c r="N1000">
        <v>0</v>
      </c>
    </row>
    <row r="1001" spans="1:14">
      <c r="A1001" t="s">
        <v>156</v>
      </c>
      <c r="B1001" t="s">
        <v>1670</v>
      </c>
      <c r="C1001" t="s">
        <v>553</v>
      </c>
      <c r="I1001">
        <v>0</v>
      </c>
      <c r="N1001">
        <v>0</v>
      </c>
    </row>
    <row r="1002" spans="1:14">
      <c r="A1002" t="s">
        <v>156</v>
      </c>
      <c r="B1002" t="s">
        <v>1671</v>
      </c>
      <c r="C1002" t="s">
        <v>572</v>
      </c>
      <c r="I1002">
        <v>0</v>
      </c>
      <c r="N1002">
        <v>0</v>
      </c>
    </row>
    <row r="1003" spans="1:14">
      <c r="A1003" t="s">
        <v>156</v>
      </c>
      <c r="B1003" t="s">
        <v>1672</v>
      </c>
      <c r="C1003" t="s">
        <v>557</v>
      </c>
      <c r="D1003" t="s">
        <v>900</v>
      </c>
      <c r="E1003" t="s">
        <v>570</v>
      </c>
      <c r="F1003">
        <v>1405</v>
      </c>
      <c r="G1003">
        <v>1</v>
      </c>
      <c r="H1003">
        <v>2</v>
      </c>
      <c r="I1003">
        <v>0</v>
      </c>
      <c r="J1003">
        <v>1</v>
      </c>
      <c r="K1003">
        <v>3</v>
      </c>
      <c r="L1003">
        <v>0</v>
      </c>
      <c r="M1003">
        <v>0</v>
      </c>
      <c r="N1003">
        <v>0</v>
      </c>
    </row>
    <row r="1004" spans="1:14">
      <c r="A1004" t="s">
        <v>156</v>
      </c>
      <c r="B1004" t="s">
        <v>1673</v>
      </c>
      <c r="C1004" t="s">
        <v>553</v>
      </c>
      <c r="D1004" t="s">
        <v>1207</v>
      </c>
      <c r="E1004" t="s">
        <v>610</v>
      </c>
      <c r="F1004">
        <v>1999</v>
      </c>
      <c r="G1004">
        <v>2</v>
      </c>
      <c r="H1004">
        <v>1</v>
      </c>
      <c r="I1004">
        <v>0</v>
      </c>
      <c r="J1004">
        <v>1</v>
      </c>
      <c r="K1004">
        <v>3</v>
      </c>
      <c r="L1004">
        <v>0</v>
      </c>
      <c r="M1004">
        <v>0</v>
      </c>
      <c r="N1004">
        <v>0</v>
      </c>
    </row>
    <row r="1005" spans="1:14">
      <c r="A1005" t="s">
        <v>156</v>
      </c>
      <c r="B1005" t="s">
        <v>1674</v>
      </c>
      <c r="C1005" t="s">
        <v>557</v>
      </c>
      <c r="D1005" t="s">
        <v>771</v>
      </c>
      <c r="E1005" t="s">
        <v>561</v>
      </c>
      <c r="F1005">
        <v>1006</v>
      </c>
      <c r="G1005">
        <v>3</v>
      </c>
      <c r="H1005">
        <v>2</v>
      </c>
      <c r="I1005">
        <v>103</v>
      </c>
      <c r="J1005">
        <v>1</v>
      </c>
      <c r="K1005">
        <v>5</v>
      </c>
      <c r="L1005">
        <v>0</v>
      </c>
      <c r="M1005">
        <v>0</v>
      </c>
      <c r="N1005">
        <v>0</v>
      </c>
    </row>
    <row r="1006" spans="1:14">
      <c r="A1006" t="s">
        <v>156</v>
      </c>
      <c r="B1006" t="s">
        <v>1675</v>
      </c>
      <c r="C1006" t="s">
        <v>575</v>
      </c>
      <c r="D1006" t="s">
        <v>1093</v>
      </c>
      <c r="E1006" t="s">
        <v>570</v>
      </c>
      <c r="F1006">
        <v>2778</v>
      </c>
      <c r="G1006">
        <v>4</v>
      </c>
      <c r="H1006">
        <v>3</v>
      </c>
      <c r="I1006">
        <v>0</v>
      </c>
      <c r="J1006">
        <v>1</v>
      </c>
      <c r="K1006">
        <v>7</v>
      </c>
      <c r="L1006">
        <v>1</v>
      </c>
      <c r="M1006">
        <v>0.2268</v>
      </c>
      <c r="N1006">
        <v>0</v>
      </c>
    </row>
    <row r="1007" spans="1:14">
      <c r="A1007" t="s">
        <v>156</v>
      </c>
      <c r="B1007" t="s">
        <v>1676</v>
      </c>
      <c r="C1007" t="s">
        <v>553</v>
      </c>
      <c r="I1007">
        <v>0</v>
      </c>
      <c r="N1007">
        <v>0</v>
      </c>
    </row>
    <row r="1008" spans="1:14">
      <c r="A1008" t="s">
        <v>156</v>
      </c>
      <c r="B1008" t="s">
        <v>1677</v>
      </c>
      <c r="C1008" t="s">
        <v>557</v>
      </c>
      <c r="D1008" t="s">
        <v>606</v>
      </c>
      <c r="E1008" t="s">
        <v>570</v>
      </c>
      <c r="F1008">
        <v>1398</v>
      </c>
      <c r="G1008">
        <v>2</v>
      </c>
      <c r="H1008">
        <v>4</v>
      </c>
      <c r="I1008">
        <v>642</v>
      </c>
      <c r="J1008">
        <v>1</v>
      </c>
      <c r="K1008">
        <v>6</v>
      </c>
      <c r="L1008">
        <v>0</v>
      </c>
      <c r="M1008">
        <v>0</v>
      </c>
      <c r="N1008">
        <v>0</v>
      </c>
    </row>
    <row r="1009" spans="1:14">
      <c r="A1009" t="s">
        <v>156</v>
      </c>
      <c r="B1009" t="s">
        <v>1678</v>
      </c>
      <c r="C1009" t="s">
        <v>557</v>
      </c>
      <c r="D1009" t="s">
        <v>668</v>
      </c>
      <c r="E1009" t="s">
        <v>555</v>
      </c>
      <c r="F1009">
        <v>143</v>
      </c>
      <c r="G1009">
        <v>0</v>
      </c>
      <c r="H1009">
        <v>0</v>
      </c>
      <c r="I1009">
        <v>0</v>
      </c>
      <c r="J1009">
        <v>1</v>
      </c>
      <c r="K1009">
        <v>0</v>
      </c>
      <c r="L1009">
        <v>0</v>
      </c>
      <c r="M1009">
        <v>0</v>
      </c>
      <c r="N1009">
        <v>0</v>
      </c>
    </row>
    <row r="1010" spans="1:14">
      <c r="A1010" t="s">
        <v>156</v>
      </c>
      <c r="B1010" t="s">
        <v>1679</v>
      </c>
      <c r="C1010" t="s">
        <v>557</v>
      </c>
      <c r="D1010" t="s">
        <v>629</v>
      </c>
      <c r="E1010" t="s">
        <v>566</v>
      </c>
      <c r="F1010">
        <v>1075</v>
      </c>
      <c r="G1010">
        <v>2</v>
      </c>
      <c r="H1010">
        <v>1</v>
      </c>
      <c r="I1010">
        <v>0</v>
      </c>
      <c r="J1010">
        <v>1</v>
      </c>
      <c r="K1010">
        <v>3</v>
      </c>
      <c r="L1010">
        <v>0</v>
      </c>
      <c r="M1010">
        <v>0</v>
      </c>
      <c r="N1010">
        <v>0</v>
      </c>
    </row>
    <row r="1011" spans="1:14">
      <c r="A1011" t="s">
        <v>156</v>
      </c>
      <c r="B1011" t="s">
        <v>1680</v>
      </c>
      <c r="C1011" t="s">
        <v>575</v>
      </c>
      <c r="D1011" t="s">
        <v>1681</v>
      </c>
      <c r="E1011" t="s">
        <v>561</v>
      </c>
      <c r="F1011">
        <v>1212</v>
      </c>
      <c r="G1011">
        <v>9</v>
      </c>
      <c r="H1011">
        <v>1</v>
      </c>
      <c r="I1011">
        <v>0</v>
      </c>
      <c r="J1011">
        <v>1</v>
      </c>
      <c r="K1011">
        <v>10</v>
      </c>
      <c r="L1011">
        <v>1</v>
      </c>
      <c r="M1011">
        <v>0.74260000000000004</v>
      </c>
      <c r="N1011">
        <v>0</v>
      </c>
    </row>
    <row r="1012" spans="1:14">
      <c r="A1012" t="s">
        <v>156</v>
      </c>
      <c r="B1012" t="s">
        <v>1682</v>
      </c>
      <c r="C1012" t="s">
        <v>572</v>
      </c>
      <c r="D1012" t="s">
        <v>579</v>
      </c>
      <c r="E1012" t="s">
        <v>561</v>
      </c>
      <c r="F1012">
        <v>2340</v>
      </c>
      <c r="G1012">
        <v>0</v>
      </c>
      <c r="H1012">
        <v>0</v>
      </c>
      <c r="I1012">
        <v>0</v>
      </c>
      <c r="J1012">
        <v>1</v>
      </c>
      <c r="K1012">
        <v>0</v>
      </c>
      <c r="L1012">
        <v>0</v>
      </c>
      <c r="M1012">
        <v>0</v>
      </c>
      <c r="N1012">
        <v>0</v>
      </c>
    </row>
    <row r="1013" spans="1:14">
      <c r="A1013" t="s">
        <v>156</v>
      </c>
      <c r="B1013" t="s">
        <v>1683</v>
      </c>
      <c r="C1013" t="s">
        <v>553</v>
      </c>
      <c r="D1013" t="s">
        <v>579</v>
      </c>
      <c r="E1013" t="s">
        <v>561</v>
      </c>
      <c r="F1013">
        <v>2097</v>
      </c>
      <c r="G1013">
        <v>1</v>
      </c>
      <c r="H1013">
        <v>0</v>
      </c>
      <c r="I1013">
        <v>0</v>
      </c>
      <c r="J1013">
        <v>1</v>
      </c>
      <c r="K1013">
        <v>1</v>
      </c>
      <c r="L1013">
        <v>0</v>
      </c>
      <c r="M1013">
        <v>0</v>
      </c>
      <c r="N1013">
        <v>0</v>
      </c>
    </row>
    <row r="1014" spans="1:14">
      <c r="A1014" t="s">
        <v>156</v>
      </c>
      <c r="B1014" t="s">
        <v>1684</v>
      </c>
      <c r="C1014" t="s">
        <v>575</v>
      </c>
      <c r="I1014">
        <v>0</v>
      </c>
      <c r="N1014">
        <v>0</v>
      </c>
    </row>
    <row r="1015" spans="1:14">
      <c r="A1015" t="s">
        <v>156</v>
      </c>
      <c r="B1015" t="s">
        <v>1685</v>
      </c>
      <c r="C1015" t="s">
        <v>553</v>
      </c>
      <c r="D1015" t="s">
        <v>1686</v>
      </c>
      <c r="E1015" t="s">
        <v>1687</v>
      </c>
      <c r="F1015">
        <v>1407</v>
      </c>
      <c r="G1015">
        <v>0</v>
      </c>
      <c r="H1015">
        <v>0</v>
      </c>
      <c r="I1015">
        <v>45</v>
      </c>
      <c r="J1015">
        <v>1</v>
      </c>
      <c r="K1015">
        <v>0</v>
      </c>
      <c r="L1015">
        <v>0</v>
      </c>
      <c r="M1015">
        <v>0</v>
      </c>
      <c r="N1015">
        <v>1</v>
      </c>
    </row>
    <row r="1016" spans="1:14">
      <c r="A1016" t="s">
        <v>152</v>
      </c>
      <c r="B1016" t="s">
        <v>1688</v>
      </c>
      <c r="C1016" t="s">
        <v>553</v>
      </c>
      <c r="I1016">
        <v>0</v>
      </c>
      <c r="N1016">
        <v>0</v>
      </c>
    </row>
    <row r="1017" spans="1:14">
      <c r="A1017" t="s">
        <v>152</v>
      </c>
      <c r="B1017" t="s">
        <v>1689</v>
      </c>
      <c r="C1017" t="s">
        <v>553</v>
      </c>
      <c r="I1017">
        <v>0</v>
      </c>
      <c r="N1017">
        <v>0</v>
      </c>
    </row>
    <row r="1018" spans="1:14">
      <c r="A1018" t="s">
        <v>152</v>
      </c>
      <c r="B1018" t="s">
        <v>1690</v>
      </c>
      <c r="C1018" t="s">
        <v>553</v>
      </c>
      <c r="I1018">
        <v>0</v>
      </c>
      <c r="N1018">
        <v>0</v>
      </c>
    </row>
    <row r="1019" spans="1:14">
      <c r="A1019" t="s">
        <v>152</v>
      </c>
      <c r="B1019" t="s">
        <v>1691</v>
      </c>
      <c r="C1019" t="s">
        <v>572</v>
      </c>
      <c r="I1019">
        <v>0</v>
      </c>
      <c r="N1019">
        <v>0</v>
      </c>
    </row>
    <row r="1020" spans="1:14">
      <c r="A1020" t="s">
        <v>152</v>
      </c>
      <c r="B1020" t="s">
        <v>1692</v>
      </c>
      <c r="C1020" t="s">
        <v>553</v>
      </c>
      <c r="I1020">
        <v>0</v>
      </c>
      <c r="N1020">
        <v>0</v>
      </c>
    </row>
    <row r="1021" spans="1:14">
      <c r="A1021" t="s">
        <v>152</v>
      </c>
      <c r="B1021" t="s">
        <v>1693</v>
      </c>
      <c r="C1021" t="s">
        <v>557</v>
      </c>
      <c r="I1021">
        <v>0</v>
      </c>
      <c r="N1021">
        <v>0</v>
      </c>
    </row>
    <row r="1022" spans="1:14">
      <c r="A1022" t="s">
        <v>152</v>
      </c>
      <c r="B1022" t="s">
        <v>1694</v>
      </c>
      <c r="C1022" t="s">
        <v>557</v>
      </c>
      <c r="I1022">
        <v>0</v>
      </c>
      <c r="N1022">
        <v>0</v>
      </c>
    </row>
    <row r="1023" spans="1:14">
      <c r="A1023" t="s">
        <v>152</v>
      </c>
      <c r="B1023" t="s">
        <v>1695</v>
      </c>
      <c r="C1023" t="s">
        <v>557</v>
      </c>
      <c r="I1023">
        <v>0</v>
      </c>
      <c r="N1023">
        <v>0</v>
      </c>
    </row>
    <row r="1024" spans="1:14">
      <c r="A1024" t="s">
        <v>152</v>
      </c>
      <c r="B1024" t="s">
        <v>1696</v>
      </c>
      <c r="C1024" t="s">
        <v>557</v>
      </c>
      <c r="I1024">
        <v>0</v>
      </c>
      <c r="N1024">
        <v>0</v>
      </c>
    </row>
    <row r="1025" spans="1:14">
      <c r="A1025" t="s">
        <v>152</v>
      </c>
      <c r="B1025" t="s">
        <v>1697</v>
      </c>
      <c r="C1025" t="s">
        <v>557</v>
      </c>
      <c r="I1025">
        <v>0</v>
      </c>
      <c r="N1025">
        <v>0</v>
      </c>
    </row>
    <row r="1026" spans="1:14">
      <c r="A1026" t="s">
        <v>152</v>
      </c>
      <c r="B1026" t="s">
        <v>1698</v>
      </c>
      <c r="C1026" t="s">
        <v>575</v>
      </c>
      <c r="I1026">
        <v>0</v>
      </c>
      <c r="N1026">
        <v>0</v>
      </c>
    </row>
    <row r="1027" spans="1:14">
      <c r="A1027" t="s">
        <v>152</v>
      </c>
      <c r="B1027" t="s">
        <v>1699</v>
      </c>
      <c r="C1027" t="s">
        <v>557</v>
      </c>
      <c r="I1027">
        <v>0</v>
      </c>
      <c r="N1027">
        <v>0</v>
      </c>
    </row>
    <row r="1028" spans="1:14">
      <c r="A1028" t="s">
        <v>152</v>
      </c>
      <c r="B1028" t="s">
        <v>1700</v>
      </c>
      <c r="C1028" t="s">
        <v>575</v>
      </c>
      <c r="I1028">
        <v>0</v>
      </c>
      <c r="N1028">
        <v>0</v>
      </c>
    </row>
    <row r="1029" spans="1:14">
      <c r="A1029" t="s">
        <v>152</v>
      </c>
      <c r="B1029" t="s">
        <v>1701</v>
      </c>
      <c r="C1029" t="s">
        <v>557</v>
      </c>
      <c r="I1029">
        <v>0</v>
      </c>
      <c r="N1029">
        <v>0</v>
      </c>
    </row>
    <row r="1030" spans="1:14">
      <c r="A1030" t="s">
        <v>152</v>
      </c>
      <c r="B1030" t="s">
        <v>1702</v>
      </c>
      <c r="C1030" t="s">
        <v>553</v>
      </c>
      <c r="I1030">
        <v>0</v>
      </c>
      <c r="N1030">
        <v>0</v>
      </c>
    </row>
    <row r="1031" spans="1:14">
      <c r="A1031" t="s">
        <v>152</v>
      </c>
      <c r="B1031" t="s">
        <v>1703</v>
      </c>
      <c r="C1031" t="s">
        <v>575</v>
      </c>
      <c r="D1031" t="s">
        <v>890</v>
      </c>
      <c r="E1031" t="s">
        <v>570</v>
      </c>
      <c r="F1031">
        <v>1371</v>
      </c>
      <c r="G1031">
        <v>3</v>
      </c>
      <c r="H1031">
        <v>2</v>
      </c>
      <c r="I1031">
        <v>0</v>
      </c>
      <c r="J1031">
        <v>1</v>
      </c>
      <c r="K1031">
        <v>5</v>
      </c>
      <c r="L1031">
        <v>1</v>
      </c>
      <c r="M1031">
        <v>0.32819999999999999</v>
      </c>
      <c r="N1031">
        <v>0</v>
      </c>
    </row>
    <row r="1032" spans="1:14">
      <c r="A1032" t="s">
        <v>152</v>
      </c>
      <c r="B1032" t="s">
        <v>1704</v>
      </c>
      <c r="C1032" t="s">
        <v>557</v>
      </c>
      <c r="I1032">
        <v>0</v>
      </c>
      <c r="N1032">
        <v>0</v>
      </c>
    </row>
    <row r="1033" spans="1:14">
      <c r="A1033" t="s">
        <v>152</v>
      </c>
      <c r="B1033" t="s">
        <v>1705</v>
      </c>
      <c r="C1033" t="s">
        <v>575</v>
      </c>
      <c r="I1033">
        <v>0</v>
      </c>
      <c r="N1033">
        <v>0</v>
      </c>
    </row>
    <row r="1034" spans="1:14">
      <c r="A1034" t="s">
        <v>152</v>
      </c>
      <c r="B1034" t="s">
        <v>1706</v>
      </c>
      <c r="C1034" t="s">
        <v>553</v>
      </c>
      <c r="I1034">
        <v>0</v>
      </c>
      <c r="N1034">
        <v>0</v>
      </c>
    </row>
    <row r="1035" spans="1:14">
      <c r="A1035" t="s">
        <v>152</v>
      </c>
      <c r="B1035" t="s">
        <v>1707</v>
      </c>
      <c r="C1035" t="s">
        <v>572</v>
      </c>
      <c r="I1035">
        <v>0</v>
      </c>
      <c r="N1035">
        <v>0</v>
      </c>
    </row>
    <row r="1036" spans="1:14">
      <c r="A1036" t="s">
        <v>152</v>
      </c>
      <c r="B1036" t="s">
        <v>1708</v>
      </c>
      <c r="C1036" t="s">
        <v>553</v>
      </c>
      <c r="I1036">
        <v>0</v>
      </c>
      <c r="N1036">
        <v>0</v>
      </c>
    </row>
    <row r="1037" spans="1:14">
      <c r="A1037" t="s">
        <v>152</v>
      </c>
      <c r="B1037" t="s">
        <v>1709</v>
      </c>
      <c r="C1037" t="s">
        <v>572</v>
      </c>
      <c r="I1037">
        <v>0</v>
      </c>
      <c r="N1037">
        <v>0</v>
      </c>
    </row>
    <row r="1038" spans="1:14">
      <c r="A1038" t="s">
        <v>152</v>
      </c>
      <c r="B1038" t="s">
        <v>1710</v>
      </c>
      <c r="C1038" t="s">
        <v>553</v>
      </c>
      <c r="I1038">
        <v>0</v>
      </c>
      <c r="N1038">
        <v>0</v>
      </c>
    </row>
    <row r="1039" spans="1:14">
      <c r="A1039" t="s">
        <v>152</v>
      </c>
      <c r="B1039" t="s">
        <v>1711</v>
      </c>
      <c r="C1039" t="s">
        <v>553</v>
      </c>
      <c r="I1039">
        <v>0</v>
      </c>
      <c r="N1039">
        <v>0</v>
      </c>
    </row>
    <row r="1040" spans="1:14">
      <c r="A1040" t="s">
        <v>152</v>
      </c>
      <c r="B1040" t="s">
        <v>1712</v>
      </c>
      <c r="C1040" t="s">
        <v>553</v>
      </c>
      <c r="I1040">
        <v>0</v>
      </c>
      <c r="N1040">
        <v>0</v>
      </c>
    </row>
    <row r="1041" spans="1:14">
      <c r="A1041" t="s">
        <v>152</v>
      </c>
      <c r="B1041" t="s">
        <v>1713</v>
      </c>
      <c r="C1041" t="s">
        <v>553</v>
      </c>
      <c r="I1041">
        <v>0</v>
      </c>
      <c r="N1041">
        <v>0</v>
      </c>
    </row>
    <row r="1042" spans="1:14">
      <c r="A1042" t="s">
        <v>128</v>
      </c>
      <c r="B1042" t="s">
        <v>1714</v>
      </c>
      <c r="C1042" t="s">
        <v>553</v>
      </c>
      <c r="D1042" t="s">
        <v>783</v>
      </c>
      <c r="E1042" t="s">
        <v>610</v>
      </c>
      <c r="F1042">
        <v>2703</v>
      </c>
      <c r="G1042">
        <v>1</v>
      </c>
      <c r="H1042">
        <v>0</v>
      </c>
      <c r="I1042">
        <v>742</v>
      </c>
      <c r="J1042">
        <v>1</v>
      </c>
      <c r="K1042">
        <v>1</v>
      </c>
      <c r="L1042">
        <v>0</v>
      </c>
      <c r="M1042">
        <v>0</v>
      </c>
      <c r="N1042">
        <v>1</v>
      </c>
    </row>
    <row r="1043" spans="1:14">
      <c r="A1043" t="s">
        <v>128</v>
      </c>
      <c r="B1043" t="s">
        <v>1715</v>
      </c>
      <c r="C1043" t="s">
        <v>553</v>
      </c>
      <c r="D1043" t="s">
        <v>602</v>
      </c>
      <c r="E1043" t="s">
        <v>570</v>
      </c>
      <c r="F1043">
        <v>2707</v>
      </c>
      <c r="G1043">
        <v>1</v>
      </c>
      <c r="H1043">
        <v>4</v>
      </c>
      <c r="I1043">
        <v>721</v>
      </c>
      <c r="J1043">
        <v>1</v>
      </c>
      <c r="K1043">
        <v>5</v>
      </c>
      <c r="L1043">
        <v>0</v>
      </c>
      <c r="M1043">
        <v>0</v>
      </c>
      <c r="N1043">
        <v>1</v>
      </c>
    </row>
    <row r="1044" spans="1:14">
      <c r="A1044" t="s">
        <v>128</v>
      </c>
      <c r="B1044" t="s">
        <v>1716</v>
      </c>
      <c r="C1044" t="s">
        <v>572</v>
      </c>
      <c r="D1044" t="s">
        <v>1195</v>
      </c>
      <c r="E1044" t="s">
        <v>610</v>
      </c>
      <c r="F1044">
        <v>3330</v>
      </c>
      <c r="G1044">
        <v>0</v>
      </c>
      <c r="H1044">
        <v>0</v>
      </c>
      <c r="I1044">
        <v>720</v>
      </c>
      <c r="J1044">
        <v>1</v>
      </c>
      <c r="K1044">
        <v>0</v>
      </c>
      <c r="L1044">
        <v>0</v>
      </c>
      <c r="M1044">
        <v>0</v>
      </c>
      <c r="N1044">
        <v>1</v>
      </c>
    </row>
    <row r="1045" spans="1:14">
      <c r="A1045" t="s">
        <v>128</v>
      </c>
      <c r="B1045" t="s">
        <v>1717</v>
      </c>
      <c r="C1045" t="s">
        <v>553</v>
      </c>
      <c r="D1045" t="s">
        <v>1195</v>
      </c>
      <c r="E1045" t="s">
        <v>610</v>
      </c>
      <c r="F1045">
        <v>2058</v>
      </c>
      <c r="G1045">
        <v>0</v>
      </c>
      <c r="H1045">
        <v>1</v>
      </c>
      <c r="I1045">
        <v>135</v>
      </c>
      <c r="J1045">
        <v>1</v>
      </c>
      <c r="K1045">
        <v>1</v>
      </c>
      <c r="L1045">
        <v>0</v>
      </c>
      <c r="M1045">
        <v>0</v>
      </c>
      <c r="N1045">
        <v>1</v>
      </c>
    </row>
    <row r="1046" spans="1:14">
      <c r="A1046" t="s">
        <v>128</v>
      </c>
      <c r="B1046" t="s">
        <v>1718</v>
      </c>
      <c r="C1046" t="s">
        <v>557</v>
      </c>
      <c r="D1046" t="s">
        <v>569</v>
      </c>
      <c r="E1046" t="s">
        <v>570</v>
      </c>
      <c r="F1046">
        <v>1511</v>
      </c>
      <c r="G1046">
        <v>1</v>
      </c>
      <c r="H1046">
        <v>0</v>
      </c>
      <c r="I1046">
        <v>343</v>
      </c>
      <c r="J1046">
        <v>1</v>
      </c>
      <c r="K1046">
        <v>1</v>
      </c>
      <c r="L1046">
        <v>0</v>
      </c>
      <c r="M1046">
        <v>0</v>
      </c>
      <c r="N1046">
        <v>0</v>
      </c>
    </row>
    <row r="1047" spans="1:14">
      <c r="A1047" t="s">
        <v>128</v>
      </c>
      <c r="B1047" t="s">
        <v>1719</v>
      </c>
      <c r="C1047" t="s">
        <v>575</v>
      </c>
      <c r="D1047" t="s">
        <v>973</v>
      </c>
      <c r="E1047" t="s">
        <v>610</v>
      </c>
      <c r="F1047">
        <v>2710</v>
      </c>
      <c r="G1047">
        <v>8</v>
      </c>
      <c r="H1047">
        <v>4</v>
      </c>
      <c r="I1047">
        <v>0</v>
      </c>
      <c r="J1047">
        <v>1</v>
      </c>
      <c r="K1047">
        <v>12</v>
      </c>
      <c r="L1047">
        <v>1</v>
      </c>
      <c r="M1047">
        <v>0.39850000000000002</v>
      </c>
      <c r="N1047">
        <v>0</v>
      </c>
    </row>
    <row r="1048" spans="1:14">
      <c r="A1048" t="s">
        <v>128</v>
      </c>
      <c r="B1048" t="s">
        <v>1720</v>
      </c>
      <c r="C1048" t="s">
        <v>557</v>
      </c>
      <c r="D1048" t="s">
        <v>783</v>
      </c>
      <c r="E1048" t="s">
        <v>610</v>
      </c>
      <c r="F1048">
        <v>2262</v>
      </c>
      <c r="G1048">
        <v>13</v>
      </c>
      <c r="H1048">
        <v>11</v>
      </c>
      <c r="I1048">
        <v>871</v>
      </c>
      <c r="J1048">
        <v>1</v>
      </c>
      <c r="K1048">
        <v>24</v>
      </c>
      <c r="L1048">
        <v>0</v>
      </c>
      <c r="M1048">
        <v>0</v>
      </c>
      <c r="N1048">
        <v>0</v>
      </c>
    </row>
    <row r="1049" spans="1:14">
      <c r="A1049" t="s">
        <v>128</v>
      </c>
      <c r="B1049" t="s">
        <v>1721</v>
      </c>
      <c r="C1049" t="s">
        <v>557</v>
      </c>
      <c r="D1049" t="s">
        <v>609</v>
      </c>
      <c r="E1049" t="s">
        <v>610</v>
      </c>
      <c r="F1049">
        <v>1560</v>
      </c>
      <c r="G1049">
        <v>2</v>
      </c>
      <c r="H1049">
        <v>3</v>
      </c>
      <c r="I1049">
        <v>458</v>
      </c>
      <c r="J1049">
        <v>1</v>
      </c>
      <c r="K1049">
        <v>5</v>
      </c>
      <c r="L1049">
        <v>0</v>
      </c>
      <c r="M1049">
        <v>0</v>
      </c>
      <c r="N1049">
        <v>0</v>
      </c>
    </row>
    <row r="1050" spans="1:14">
      <c r="A1050" t="s">
        <v>128</v>
      </c>
      <c r="B1050" t="s">
        <v>1722</v>
      </c>
      <c r="C1050" t="s">
        <v>553</v>
      </c>
      <c r="D1050" t="s">
        <v>606</v>
      </c>
      <c r="E1050" t="s">
        <v>570</v>
      </c>
      <c r="F1050">
        <v>2796</v>
      </c>
      <c r="G1050">
        <v>1</v>
      </c>
      <c r="H1050">
        <v>2</v>
      </c>
      <c r="I1050">
        <v>770</v>
      </c>
      <c r="J1050">
        <v>1</v>
      </c>
      <c r="K1050">
        <v>3</v>
      </c>
      <c r="L1050">
        <v>0</v>
      </c>
      <c r="M1050">
        <v>0</v>
      </c>
      <c r="N1050">
        <v>1</v>
      </c>
    </row>
    <row r="1051" spans="1:14">
      <c r="A1051" t="s">
        <v>128</v>
      </c>
      <c r="B1051" t="s">
        <v>1723</v>
      </c>
      <c r="C1051" t="s">
        <v>557</v>
      </c>
      <c r="D1051" t="s">
        <v>783</v>
      </c>
      <c r="E1051" t="s">
        <v>610</v>
      </c>
      <c r="F1051">
        <v>2067</v>
      </c>
      <c r="G1051">
        <v>7</v>
      </c>
      <c r="H1051">
        <v>8</v>
      </c>
      <c r="I1051">
        <v>449</v>
      </c>
      <c r="J1051">
        <v>1</v>
      </c>
      <c r="K1051">
        <v>15</v>
      </c>
      <c r="L1051">
        <v>0</v>
      </c>
      <c r="M1051">
        <v>0</v>
      </c>
      <c r="N1051">
        <v>0</v>
      </c>
    </row>
    <row r="1052" spans="1:14">
      <c r="A1052" t="s">
        <v>128</v>
      </c>
      <c r="B1052" t="s">
        <v>1724</v>
      </c>
      <c r="C1052" t="s">
        <v>557</v>
      </c>
      <c r="D1052" t="s">
        <v>783</v>
      </c>
      <c r="E1052" t="s">
        <v>610</v>
      </c>
      <c r="F1052">
        <v>2104</v>
      </c>
      <c r="G1052">
        <v>2</v>
      </c>
      <c r="H1052">
        <v>9</v>
      </c>
      <c r="I1052">
        <v>691</v>
      </c>
      <c r="J1052">
        <v>1</v>
      </c>
      <c r="K1052">
        <v>11</v>
      </c>
      <c r="L1052">
        <v>0</v>
      </c>
      <c r="M1052">
        <v>0</v>
      </c>
      <c r="N1052">
        <v>0</v>
      </c>
    </row>
    <row r="1053" spans="1:14">
      <c r="A1053" t="s">
        <v>128</v>
      </c>
      <c r="B1053" t="s">
        <v>1725</v>
      </c>
      <c r="C1053" t="s">
        <v>557</v>
      </c>
      <c r="D1053" t="s">
        <v>771</v>
      </c>
      <c r="E1053" t="s">
        <v>561</v>
      </c>
      <c r="F1053">
        <v>1131</v>
      </c>
      <c r="G1053">
        <v>1</v>
      </c>
      <c r="H1053">
        <v>4</v>
      </c>
      <c r="I1053">
        <v>645</v>
      </c>
      <c r="J1053">
        <v>1</v>
      </c>
      <c r="K1053">
        <v>5</v>
      </c>
      <c r="L1053">
        <v>0</v>
      </c>
      <c r="M1053">
        <v>0</v>
      </c>
      <c r="N1053">
        <v>0</v>
      </c>
    </row>
    <row r="1054" spans="1:14">
      <c r="A1054" t="s">
        <v>128</v>
      </c>
      <c r="B1054" t="s">
        <v>1726</v>
      </c>
      <c r="C1054" t="s">
        <v>553</v>
      </c>
      <c r="D1054" t="s">
        <v>609</v>
      </c>
      <c r="E1054" t="s">
        <v>610</v>
      </c>
      <c r="F1054">
        <v>2181</v>
      </c>
      <c r="G1054">
        <v>0</v>
      </c>
      <c r="H1054">
        <v>4</v>
      </c>
      <c r="I1054">
        <v>1151</v>
      </c>
      <c r="J1054">
        <v>1</v>
      </c>
      <c r="K1054">
        <v>4</v>
      </c>
      <c r="L1054">
        <v>0</v>
      </c>
      <c r="M1054">
        <v>0</v>
      </c>
      <c r="N1054">
        <v>1</v>
      </c>
    </row>
    <row r="1055" spans="1:14">
      <c r="A1055" t="s">
        <v>128</v>
      </c>
      <c r="B1055" t="s">
        <v>1727</v>
      </c>
      <c r="C1055" t="s">
        <v>575</v>
      </c>
      <c r="D1055" t="s">
        <v>783</v>
      </c>
      <c r="E1055" t="s">
        <v>610</v>
      </c>
      <c r="F1055">
        <v>1965</v>
      </c>
      <c r="G1055">
        <v>16</v>
      </c>
      <c r="H1055">
        <v>2</v>
      </c>
      <c r="I1055">
        <v>362</v>
      </c>
      <c r="J1055">
        <v>1</v>
      </c>
      <c r="K1055">
        <v>18</v>
      </c>
      <c r="L1055">
        <v>1</v>
      </c>
      <c r="M1055">
        <v>0.82440000000000002</v>
      </c>
      <c r="N1055">
        <v>0</v>
      </c>
    </row>
    <row r="1056" spans="1:14">
      <c r="A1056" t="s">
        <v>128</v>
      </c>
      <c r="B1056" t="s">
        <v>1728</v>
      </c>
      <c r="C1056" t="s">
        <v>557</v>
      </c>
      <c r="D1056" t="s">
        <v>708</v>
      </c>
      <c r="E1056" t="s">
        <v>570</v>
      </c>
      <c r="F1056">
        <v>1036</v>
      </c>
      <c r="G1056">
        <v>4</v>
      </c>
      <c r="H1056">
        <v>3</v>
      </c>
      <c r="I1056">
        <v>515</v>
      </c>
      <c r="J1056">
        <v>1</v>
      </c>
      <c r="K1056">
        <v>7</v>
      </c>
      <c r="L1056">
        <v>0</v>
      </c>
      <c r="M1056">
        <v>0</v>
      </c>
      <c r="N1056">
        <v>0</v>
      </c>
    </row>
    <row r="1057" spans="1:14">
      <c r="A1057" t="s">
        <v>128</v>
      </c>
      <c r="B1057" t="s">
        <v>1729</v>
      </c>
      <c r="C1057" t="s">
        <v>575</v>
      </c>
      <c r="D1057" t="s">
        <v>783</v>
      </c>
      <c r="E1057" t="s">
        <v>610</v>
      </c>
      <c r="F1057">
        <v>573</v>
      </c>
      <c r="G1057">
        <v>0</v>
      </c>
      <c r="H1057">
        <v>1</v>
      </c>
      <c r="I1057">
        <v>125</v>
      </c>
      <c r="J1057">
        <v>1</v>
      </c>
      <c r="K1057">
        <v>1</v>
      </c>
      <c r="L1057">
        <v>0</v>
      </c>
      <c r="M1057">
        <v>0</v>
      </c>
      <c r="N1057">
        <v>0</v>
      </c>
    </row>
    <row r="1058" spans="1:14">
      <c r="A1058" t="s">
        <v>128</v>
      </c>
      <c r="B1058" t="s">
        <v>1730</v>
      </c>
      <c r="C1058" t="s">
        <v>557</v>
      </c>
      <c r="D1058" t="s">
        <v>1195</v>
      </c>
      <c r="E1058" t="s">
        <v>610</v>
      </c>
      <c r="F1058">
        <v>1674</v>
      </c>
      <c r="G1058">
        <v>5</v>
      </c>
      <c r="H1058">
        <v>3</v>
      </c>
      <c r="I1058">
        <v>187</v>
      </c>
      <c r="J1058">
        <v>1</v>
      </c>
      <c r="K1058">
        <v>8</v>
      </c>
      <c r="L1058">
        <v>0</v>
      </c>
      <c r="M1058">
        <v>0</v>
      </c>
      <c r="N1058">
        <v>0</v>
      </c>
    </row>
    <row r="1059" spans="1:14">
      <c r="A1059" t="s">
        <v>128</v>
      </c>
      <c r="B1059" t="s">
        <v>1731</v>
      </c>
      <c r="C1059" t="s">
        <v>575</v>
      </c>
      <c r="D1059" t="s">
        <v>1732</v>
      </c>
      <c r="E1059" t="s">
        <v>1733</v>
      </c>
      <c r="F1059">
        <v>2239</v>
      </c>
      <c r="G1059">
        <v>2</v>
      </c>
      <c r="H1059">
        <v>3</v>
      </c>
      <c r="I1059">
        <v>0</v>
      </c>
      <c r="J1059">
        <v>1</v>
      </c>
      <c r="K1059">
        <v>5</v>
      </c>
      <c r="L1059">
        <v>1</v>
      </c>
      <c r="M1059">
        <v>0.20100000000000001</v>
      </c>
      <c r="N1059">
        <v>0</v>
      </c>
    </row>
    <row r="1060" spans="1:14">
      <c r="A1060" t="s">
        <v>128</v>
      </c>
      <c r="B1060" t="s">
        <v>1734</v>
      </c>
      <c r="C1060" t="s">
        <v>553</v>
      </c>
      <c r="D1060" t="s">
        <v>783</v>
      </c>
      <c r="E1060" t="s">
        <v>610</v>
      </c>
      <c r="F1060">
        <v>2721</v>
      </c>
      <c r="G1060">
        <v>1</v>
      </c>
      <c r="H1060">
        <v>1</v>
      </c>
      <c r="I1060">
        <v>778</v>
      </c>
      <c r="J1060">
        <v>1</v>
      </c>
      <c r="K1060">
        <v>2</v>
      </c>
      <c r="L1060">
        <v>0</v>
      </c>
      <c r="M1060">
        <v>0</v>
      </c>
      <c r="N1060">
        <v>1</v>
      </c>
    </row>
    <row r="1061" spans="1:14">
      <c r="A1061" t="s">
        <v>128</v>
      </c>
      <c r="B1061" t="s">
        <v>1735</v>
      </c>
      <c r="C1061" t="s">
        <v>557</v>
      </c>
      <c r="D1061" t="s">
        <v>708</v>
      </c>
      <c r="E1061" t="s">
        <v>570</v>
      </c>
      <c r="F1061">
        <v>2992</v>
      </c>
      <c r="G1061">
        <v>5</v>
      </c>
      <c r="H1061">
        <v>1</v>
      </c>
      <c r="I1061">
        <v>996</v>
      </c>
      <c r="J1061">
        <v>1</v>
      </c>
      <c r="K1061">
        <v>6</v>
      </c>
      <c r="L1061">
        <v>0</v>
      </c>
      <c r="M1061">
        <v>0</v>
      </c>
      <c r="N1061">
        <v>0</v>
      </c>
    </row>
    <row r="1062" spans="1:14">
      <c r="A1062" t="s">
        <v>128</v>
      </c>
      <c r="B1062" t="s">
        <v>1736</v>
      </c>
      <c r="C1062" t="s">
        <v>575</v>
      </c>
      <c r="D1062" t="s">
        <v>1737</v>
      </c>
      <c r="E1062" t="s">
        <v>610</v>
      </c>
      <c r="F1062">
        <v>1900</v>
      </c>
      <c r="G1062">
        <v>10</v>
      </c>
      <c r="H1062">
        <v>2</v>
      </c>
      <c r="I1062">
        <v>0</v>
      </c>
      <c r="J1062">
        <v>1</v>
      </c>
      <c r="K1062">
        <v>12</v>
      </c>
      <c r="L1062">
        <v>1</v>
      </c>
      <c r="M1062">
        <v>0.56840000000000002</v>
      </c>
      <c r="N1062">
        <v>0</v>
      </c>
    </row>
    <row r="1063" spans="1:14">
      <c r="A1063" t="s">
        <v>128</v>
      </c>
      <c r="B1063" t="s">
        <v>1738</v>
      </c>
      <c r="C1063" t="s">
        <v>553</v>
      </c>
      <c r="D1063" t="s">
        <v>609</v>
      </c>
      <c r="E1063" t="s">
        <v>610</v>
      </c>
      <c r="F1063">
        <v>1381</v>
      </c>
      <c r="G1063">
        <v>1</v>
      </c>
      <c r="H1063">
        <v>1</v>
      </c>
      <c r="I1063">
        <v>826</v>
      </c>
      <c r="J1063">
        <v>1</v>
      </c>
      <c r="K1063">
        <v>2</v>
      </c>
      <c r="L1063">
        <v>0</v>
      </c>
      <c r="M1063">
        <v>0</v>
      </c>
      <c r="N1063">
        <v>1</v>
      </c>
    </row>
    <row r="1064" spans="1:14">
      <c r="A1064" t="s">
        <v>128</v>
      </c>
      <c r="B1064" t="s">
        <v>1739</v>
      </c>
      <c r="C1064" t="s">
        <v>572</v>
      </c>
      <c r="D1064" t="s">
        <v>783</v>
      </c>
      <c r="E1064" t="s">
        <v>610</v>
      </c>
      <c r="F1064">
        <v>2700</v>
      </c>
      <c r="G1064">
        <v>0</v>
      </c>
      <c r="H1064">
        <v>0</v>
      </c>
      <c r="I1064">
        <v>801</v>
      </c>
      <c r="J1064">
        <v>1</v>
      </c>
      <c r="K1064">
        <v>0</v>
      </c>
      <c r="L1064">
        <v>0</v>
      </c>
      <c r="M1064">
        <v>0</v>
      </c>
      <c r="N1064">
        <v>1</v>
      </c>
    </row>
    <row r="1065" spans="1:14">
      <c r="A1065" t="s">
        <v>128</v>
      </c>
      <c r="B1065" t="s">
        <v>1740</v>
      </c>
      <c r="C1065" t="s">
        <v>553</v>
      </c>
      <c r="D1065" t="s">
        <v>563</v>
      </c>
      <c r="E1065" t="s">
        <v>555</v>
      </c>
      <c r="F1065">
        <v>2521</v>
      </c>
      <c r="G1065">
        <v>5</v>
      </c>
      <c r="H1065">
        <v>7</v>
      </c>
      <c r="I1065">
        <v>1078</v>
      </c>
      <c r="J1065">
        <v>1</v>
      </c>
      <c r="K1065">
        <v>12</v>
      </c>
      <c r="L1065">
        <v>0</v>
      </c>
      <c r="M1065">
        <v>0</v>
      </c>
      <c r="N1065">
        <v>1</v>
      </c>
    </row>
    <row r="1066" spans="1:14">
      <c r="A1066" t="s">
        <v>128</v>
      </c>
      <c r="B1066" t="s">
        <v>1741</v>
      </c>
      <c r="C1066" t="s">
        <v>557</v>
      </c>
      <c r="D1066" t="s">
        <v>963</v>
      </c>
      <c r="E1066" t="s">
        <v>610</v>
      </c>
      <c r="F1066">
        <v>2656</v>
      </c>
      <c r="G1066">
        <v>6</v>
      </c>
      <c r="H1066">
        <v>2</v>
      </c>
      <c r="I1066">
        <v>0</v>
      </c>
      <c r="J1066">
        <v>1</v>
      </c>
      <c r="K1066">
        <v>8</v>
      </c>
      <c r="L1066">
        <v>0</v>
      </c>
      <c r="M1066">
        <v>0</v>
      </c>
      <c r="N1066">
        <v>0</v>
      </c>
    </row>
    <row r="1067" spans="1:14">
      <c r="A1067" t="s">
        <v>128</v>
      </c>
      <c r="B1067" t="s">
        <v>1742</v>
      </c>
      <c r="C1067" t="s">
        <v>572</v>
      </c>
      <c r="D1067" t="s">
        <v>708</v>
      </c>
      <c r="E1067" t="s">
        <v>570</v>
      </c>
      <c r="F1067">
        <v>3330</v>
      </c>
      <c r="G1067">
        <v>0</v>
      </c>
      <c r="H1067">
        <v>0</v>
      </c>
      <c r="I1067">
        <v>1290</v>
      </c>
      <c r="J1067">
        <v>1</v>
      </c>
      <c r="K1067">
        <v>0</v>
      </c>
      <c r="L1067">
        <v>0</v>
      </c>
      <c r="M1067">
        <v>0</v>
      </c>
      <c r="N1067">
        <v>1</v>
      </c>
    </row>
    <row r="1068" spans="1:14">
      <c r="A1068" t="s">
        <v>126</v>
      </c>
      <c r="B1068" t="s">
        <v>1743</v>
      </c>
      <c r="C1068" t="s">
        <v>575</v>
      </c>
      <c r="D1068" t="s">
        <v>708</v>
      </c>
      <c r="E1068" t="s">
        <v>570</v>
      </c>
      <c r="F1068">
        <v>2224</v>
      </c>
      <c r="G1068">
        <v>11</v>
      </c>
      <c r="H1068">
        <v>1</v>
      </c>
      <c r="I1068">
        <v>909</v>
      </c>
      <c r="J1068">
        <v>1</v>
      </c>
      <c r="K1068">
        <v>12</v>
      </c>
      <c r="L1068">
        <v>1</v>
      </c>
      <c r="M1068">
        <v>0.48559999999999998</v>
      </c>
      <c r="N1068">
        <v>0</v>
      </c>
    </row>
    <row r="1069" spans="1:14">
      <c r="A1069" t="s">
        <v>126</v>
      </c>
      <c r="B1069" t="s">
        <v>1744</v>
      </c>
      <c r="C1069" t="s">
        <v>553</v>
      </c>
      <c r="I1069">
        <v>0</v>
      </c>
      <c r="N1069">
        <v>0</v>
      </c>
    </row>
    <row r="1070" spans="1:14">
      <c r="A1070" t="s">
        <v>126</v>
      </c>
      <c r="B1070" t="s">
        <v>1745</v>
      </c>
      <c r="C1070" t="s">
        <v>575</v>
      </c>
      <c r="D1070" t="s">
        <v>599</v>
      </c>
      <c r="E1070" t="s">
        <v>570</v>
      </c>
      <c r="F1070">
        <v>699</v>
      </c>
      <c r="G1070">
        <v>3</v>
      </c>
      <c r="H1070">
        <v>1</v>
      </c>
      <c r="I1070">
        <v>286</v>
      </c>
      <c r="J1070">
        <v>1</v>
      </c>
      <c r="K1070">
        <v>4</v>
      </c>
      <c r="L1070">
        <v>0</v>
      </c>
      <c r="M1070">
        <v>0</v>
      </c>
      <c r="N1070">
        <v>0</v>
      </c>
    </row>
    <row r="1071" spans="1:14">
      <c r="A1071" t="s">
        <v>126</v>
      </c>
      <c r="B1071" t="s">
        <v>1746</v>
      </c>
      <c r="C1071" t="s">
        <v>553</v>
      </c>
      <c r="D1071" t="s">
        <v>597</v>
      </c>
      <c r="E1071" t="s">
        <v>570</v>
      </c>
      <c r="F1071">
        <v>948</v>
      </c>
      <c r="G1071">
        <v>0</v>
      </c>
      <c r="H1071">
        <v>1</v>
      </c>
      <c r="I1071">
        <v>0</v>
      </c>
      <c r="J1071">
        <v>1</v>
      </c>
      <c r="K1071">
        <v>1</v>
      </c>
      <c r="L1071">
        <v>0</v>
      </c>
      <c r="M1071">
        <v>0</v>
      </c>
      <c r="N1071">
        <v>0</v>
      </c>
    </row>
    <row r="1072" spans="1:14">
      <c r="A1072" t="s">
        <v>126</v>
      </c>
      <c r="B1072" t="s">
        <v>1747</v>
      </c>
      <c r="C1072" t="s">
        <v>557</v>
      </c>
      <c r="D1072" t="s">
        <v>713</v>
      </c>
      <c r="E1072" t="s">
        <v>570</v>
      </c>
      <c r="F1072">
        <v>1929</v>
      </c>
      <c r="G1072">
        <v>3</v>
      </c>
      <c r="H1072">
        <v>3</v>
      </c>
      <c r="I1072">
        <v>0</v>
      </c>
      <c r="J1072">
        <v>1</v>
      </c>
      <c r="K1072">
        <v>6</v>
      </c>
      <c r="L1072">
        <v>0</v>
      </c>
      <c r="M1072">
        <v>0</v>
      </c>
      <c r="N1072">
        <v>0</v>
      </c>
    </row>
    <row r="1073" spans="1:14">
      <c r="A1073" t="s">
        <v>126</v>
      </c>
      <c r="B1073" t="s">
        <v>1748</v>
      </c>
      <c r="C1073" t="s">
        <v>557</v>
      </c>
      <c r="D1073" t="s">
        <v>1298</v>
      </c>
      <c r="E1073" t="s">
        <v>570</v>
      </c>
      <c r="F1073">
        <v>2631</v>
      </c>
      <c r="G1073">
        <v>0</v>
      </c>
      <c r="H1073">
        <v>0</v>
      </c>
      <c r="I1073">
        <v>0</v>
      </c>
      <c r="J1073">
        <v>1</v>
      </c>
      <c r="K1073">
        <v>0</v>
      </c>
      <c r="L1073">
        <v>0</v>
      </c>
      <c r="M1073">
        <v>0</v>
      </c>
      <c r="N1073">
        <v>0</v>
      </c>
    </row>
    <row r="1074" spans="1:14">
      <c r="A1074" t="s">
        <v>126</v>
      </c>
      <c r="B1074" t="s">
        <v>1749</v>
      </c>
      <c r="C1074" t="s">
        <v>557</v>
      </c>
      <c r="I1074">
        <v>0</v>
      </c>
      <c r="N1074">
        <v>0</v>
      </c>
    </row>
    <row r="1075" spans="1:14">
      <c r="A1075" t="s">
        <v>126</v>
      </c>
      <c r="B1075" t="s">
        <v>1750</v>
      </c>
      <c r="C1075" t="s">
        <v>553</v>
      </c>
      <c r="D1075" t="s">
        <v>717</v>
      </c>
      <c r="E1075" t="s">
        <v>566</v>
      </c>
      <c r="F1075">
        <v>1970</v>
      </c>
      <c r="G1075">
        <v>1</v>
      </c>
      <c r="H1075">
        <v>0</v>
      </c>
      <c r="I1075">
        <v>711</v>
      </c>
      <c r="J1075">
        <v>1</v>
      </c>
      <c r="K1075">
        <v>1</v>
      </c>
      <c r="L1075">
        <v>0</v>
      </c>
      <c r="M1075">
        <v>0</v>
      </c>
      <c r="N1075">
        <v>1</v>
      </c>
    </row>
    <row r="1076" spans="1:14">
      <c r="A1076" t="s">
        <v>126</v>
      </c>
      <c r="B1076" t="s">
        <v>1751</v>
      </c>
      <c r="C1076" t="s">
        <v>557</v>
      </c>
      <c r="D1076" t="s">
        <v>775</v>
      </c>
      <c r="E1076" t="s">
        <v>570</v>
      </c>
      <c r="F1076">
        <v>1319</v>
      </c>
      <c r="G1076">
        <v>0</v>
      </c>
      <c r="H1076">
        <v>1</v>
      </c>
      <c r="I1076">
        <v>477</v>
      </c>
      <c r="J1076">
        <v>1</v>
      </c>
      <c r="K1076">
        <v>1</v>
      </c>
      <c r="L1076">
        <v>0</v>
      </c>
      <c r="M1076">
        <v>0</v>
      </c>
      <c r="N1076">
        <v>0</v>
      </c>
    </row>
    <row r="1077" spans="1:14">
      <c r="A1077" t="s">
        <v>126</v>
      </c>
      <c r="B1077" t="s">
        <v>1752</v>
      </c>
      <c r="C1077" t="s">
        <v>572</v>
      </c>
      <c r="I1077">
        <v>0</v>
      </c>
      <c r="N1077">
        <v>0</v>
      </c>
    </row>
    <row r="1078" spans="1:14">
      <c r="A1078" t="s">
        <v>126</v>
      </c>
      <c r="B1078" t="s">
        <v>1753</v>
      </c>
      <c r="C1078" t="s">
        <v>572</v>
      </c>
      <c r="I1078">
        <v>0</v>
      </c>
      <c r="N1078">
        <v>0</v>
      </c>
    </row>
    <row r="1079" spans="1:14">
      <c r="A1079" t="s">
        <v>126</v>
      </c>
      <c r="B1079" t="s">
        <v>1754</v>
      </c>
      <c r="C1079" t="s">
        <v>557</v>
      </c>
      <c r="I1079">
        <v>0</v>
      </c>
      <c r="N1079">
        <v>0</v>
      </c>
    </row>
    <row r="1080" spans="1:14">
      <c r="A1080" t="s">
        <v>126</v>
      </c>
      <c r="B1080" t="s">
        <v>1755</v>
      </c>
      <c r="C1080" t="s">
        <v>557</v>
      </c>
      <c r="D1080" t="s">
        <v>1756</v>
      </c>
      <c r="E1080" t="s">
        <v>566</v>
      </c>
      <c r="F1080">
        <v>3146</v>
      </c>
      <c r="G1080">
        <v>1</v>
      </c>
      <c r="H1080">
        <v>0</v>
      </c>
      <c r="I1080">
        <v>0</v>
      </c>
      <c r="J1080">
        <v>1</v>
      </c>
      <c r="K1080">
        <v>1</v>
      </c>
      <c r="L1080">
        <v>0</v>
      </c>
      <c r="M1080">
        <v>0</v>
      </c>
      <c r="N1080">
        <v>0</v>
      </c>
    </row>
    <row r="1081" spans="1:14">
      <c r="A1081" t="s">
        <v>126</v>
      </c>
      <c r="B1081" t="s">
        <v>1757</v>
      </c>
      <c r="C1081" t="s">
        <v>557</v>
      </c>
      <c r="I1081">
        <v>0</v>
      </c>
      <c r="N1081">
        <v>0</v>
      </c>
    </row>
    <row r="1082" spans="1:14">
      <c r="A1082" t="s">
        <v>126</v>
      </c>
      <c r="B1082" t="s">
        <v>1758</v>
      </c>
      <c r="C1082" t="s">
        <v>557</v>
      </c>
      <c r="D1082" t="s">
        <v>606</v>
      </c>
      <c r="E1082" t="s">
        <v>570</v>
      </c>
      <c r="F1082">
        <v>965</v>
      </c>
      <c r="G1082">
        <v>1</v>
      </c>
      <c r="H1082">
        <v>3</v>
      </c>
      <c r="I1082">
        <v>375</v>
      </c>
      <c r="J1082">
        <v>1</v>
      </c>
      <c r="K1082">
        <v>4</v>
      </c>
      <c r="L1082">
        <v>0</v>
      </c>
      <c r="M1082">
        <v>0</v>
      </c>
      <c r="N1082">
        <v>0</v>
      </c>
    </row>
    <row r="1083" spans="1:14">
      <c r="A1083" t="s">
        <v>126</v>
      </c>
      <c r="B1083" t="s">
        <v>1759</v>
      </c>
      <c r="C1083" t="s">
        <v>553</v>
      </c>
      <c r="D1083" t="s">
        <v>554</v>
      </c>
      <c r="E1083" t="s">
        <v>555</v>
      </c>
      <c r="F1083">
        <v>2454</v>
      </c>
      <c r="G1083">
        <v>2</v>
      </c>
      <c r="H1083">
        <v>2</v>
      </c>
      <c r="I1083">
        <v>713</v>
      </c>
      <c r="J1083">
        <v>1</v>
      </c>
      <c r="K1083">
        <v>4</v>
      </c>
      <c r="L1083">
        <v>0</v>
      </c>
      <c r="M1083">
        <v>0</v>
      </c>
      <c r="N1083">
        <v>1</v>
      </c>
    </row>
    <row r="1084" spans="1:14">
      <c r="A1084" t="s">
        <v>126</v>
      </c>
      <c r="B1084" t="s">
        <v>1760</v>
      </c>
      <c r="C1084" t="s">
        <v>557</v>
      </c>
      <c r="I1084">
        <v>0</v>
      </c>
      <c r="N1084">
        <v>0</v>
      </c>
    </row>
    <row r="1085" spans="1:14">
      <c r="A1085" t="s">
        <v>126</v>
      </c>
      <c r="B1085" t="s">
        <v>1761</v>
      </c>
      <c r="C1085" t="s">
        <v>575</v>
      </c>
      <c r="I1085">
        <v>0</v>
      </c>
      <c r="N1085">
        <v>0</v>
      </c>
    </row>
    <row r="1086" spans="1:14">
      <c r="A1086" t="s">
        <v>126</v>
      </c>
      <c r="B1086" t="s">
        <v>1762</v>
      </c>
      <c r="C1086" t="s">
        <v>575</v>
      </c>
      <c r="I1086">
        <v>197</v>
      </c>
      <c r="N1086">
        <v>0</v>
      </c>
    </row>
    <row r="1087" spans="1:14">
      <c r="A1087" t="s">
        <v>126</v>
      </c>
      <c r="B1087" t="s">
        <v>1763</v>
      </c>
      <c r="C1087" t="s">
        <v>557</v>
      </c>
      <c r="D1087" t="s">
        <v>586</v>
      </c>
      <c r="E1087" t="s">
        <v>555</v>
      </c>
      <c r="F1087">
        <v>861</v>
      </c>
      <c r="G1087">
        <v>3</v>
      </c>
      <c r="H1087">
        <v>1</v>
      </c>
      <c r="I1087">
        <v>0</v>
      </c>
      <c r="J1087">
        <v>1</v>
      </c>
      <c r="K1087">
        <v>4</v>
      </c>
      <c r="L1087">
        <v>0</v>
      </c>
      <c r="M1087">
        <v>0</v>
      </c>
      <c r="N1087">
        <v>0</v>
      </c>
    </row>
    <row r="1088" spans="1:14">
      <c r="A1088" t="s">
        <v>126</v>
      </c>
      <c r="B1088" t="s">
        <v>1764</v>
      </c>
      <c r="C1088" t="s">
        <v>553</v>
      </c>
      <c r="D1088" t="s">
        <v>1737</v>
      </c>
      <c r="E1088" t="s">
        <v>610</v>
      </c>
      <c r="F1088">
        <v>1491</v>
      </c>
      <c r="G1088">
        <v>0</v>
      </c>
      <c r="H1088">
        <v>0</v>
      </c>
      <c r="I1088">
        <v>0</v>
      </c>
      <c r="J1088">
        <v>1</v>
      </c>
      <c r="K1088">
        <v>0</v>
      </c>
      <c r="L1088">
        <v>0</v>
      </c>
      <c r="M1088">
        <v>0</v>
      </c>
      <c r="N1088">
        <v>0</v>
      </c>
    </row>
    <row r="1089" spans="1:14">
      <c r="A1089" t="s">
        <v>126</v>
      </c>
      <c r="B1089" t="s">
        <v>1765</v>
      </c>
      <c r="C1089" t="s">
        <v>575</v>
      </c>
      <c r="I1089">
        <v>9</v>
      </c>
      <c r="N1089">
        <v>0</v>
      </c>
    </row>
    <row r="1090" spans="1:14">
      <c r="A1090" t="s">
        <v>126</v>
      </c>
      <c r="B1090" t="s">
        <v>1766</v>
      </c>
      <c r="C1090" t="s">
        <v>553</v>
      </c>
      <c r="D1090" t="s">
        <v>890</v>
      </c>
      <c r="E1090" t="s">
        <v>570</v>
      </c>
      <c r="F1090">
        <v>1539</v>
      </c>
      <c r="G1090">
        <v>0</v>
      </c>
      <c r="H1090">
        <v>0</v>
      </c>
      <c r="I1090">
        <v>0</v>
      </c>
      <c r="J1090">
        <v>1</v>
      </c>
      <c r="K1090">
        <v>0</v>
      </c>
      <c r="L1090">
        <v>0</v>
      </c>
      <c r="M1090">
        <v>0</v>
      </c>
      <c r="N1090">
        <v>0</v>
      </c>
    </row>
    <row r="1091" spans="1:14">
      <c r="A1091" t="s">
        <v>126</v>
      </c>
      <c r="B1091" t="s">
        <v>1767</v>
      </c>
      <c r="C1091" t="s">
        <v>557</v>
      </c>
      <c r="I1091">
        <v>0</v>
      </c>
      <c r="N1091">
        <v>0</v>
      </c>
    </row>
    <row r="1092" spans="1:14">
      <c r="A1092" t="s">
        <v>126</v>
      </c>
      <c r="B1092" t="s">
        <v>1768</v>
      </c>
      <c r="C1092" t="s">
        <v>572</v>
      </c>
      <c r="I1092">
        <v>0</v>
      </c>
      <c r="N1092">
        <v>0</v>
      </c>
    </row>
    <row r="1093" spans="1:14">
      <c r="A1093" t="s">
        <v>126</v>
      </c>
      <c r="B1093" t="s">
        <v>1769</v>
      </c>
      <c r="C1093" t="s">
        <v>553</v>
      </c>
      <c r="D1093" t="s">
        <v>644</v>
      </c>
      <c r="E1093" t="s">
        <v>555</v>
      </c>
      <c r="F1093">
        <v>2311</v>
      </c>
      <c r="G1093">
        <v>2</v>
      </c>
      <c r="H1093">
        <v>2</v>
      </c>
      <c r="I1093">
        <v>0</v>
      </c>
      <c r="J1093">
        <v>1</v>
      </c>
      <c r="K1093">
        <v>4</v>
      </c>
      <c r="L1093">
        <v>0</v>
      </c>
      <c r="M1093">
        <v>0</v>
      </c>
      <c r="N1093">
        <v>0</v>
      </c>
    </row>
    <row r="1094" spans="1:14">
      <c r="A1094" t="s">
        <v>140</v>
      </c>
      <c r="B1094" t="s">
        <v>1770</v>
      </c>
      <c r="C1094" t="s">
        <v>553</v>
      </c>
      <c r="D1094" t="s">
        <v>616</v>
      </c>
      <c r="E1094" t="s">
        <v>566</v>
      </c>
      <c r="F1094">
        <v>2821</v>
      </c>
      <c r="G1094">
        <v>2</v>
      </c>
      <c r="H1094">
        <v>0</v>
      </c>
      <c r="I1094">
        <v>709</v>
      </c>
      <c r="J1094">
        <v>1</v>
      </c>
      <c r="K1094">
        <v>2</v>
      </c>
      <c r="L1094">
        <v>0</v>
      </c>
      <c r="M1094">
        <v>0</v>
      </c>
      <c r="N1094">
        <v>1</v>
      </c>
    </row>
    <row r="1095" spans="1:14">
      <c r="A1095" t="s">
        <v>140</v>
      </c>
      <c r="B1095" t="s">
        <v>1771</v>
      </c>
      <c r="C1095" t="s">
        <v>553</v>
      </c>
      <c r="D1095" t="s">
        <v>763</v>
      </c>
      <c r="E1095" t="s">
        <v>555</v>
      </c>
      <c r="F1095">
        <v>2966</v>
      </c>
      <c r="G1095">
        <v>0</v>
      </c>
      <c r="H1095">
        <v>2</v>
      </c>
      <c r="I1095">
        <v>0</v>
      </c>
      <c r="J1095">
        <v>1</v>
      </c>
      <c r="K1095">
        <v>2</v>
      </c>
      <c r="L1095">
        <v>0</v>
      </c>
      <c r="M1095">
        <v>0</v>
      </c>
      <c r="N1095">
        <v>0</v>
      </c>
    </row>
    <row r="1096" spans="1:14">
      <c r="A1096" t="s">
        <v>140</v>
      </c>
      <c r="B1096" t="s">
        <v>1772</v>
      </c>
      <c r="C1096" t="s">
        <v>572</v>
      </c>
      <c r="D1096" t="s">
        <v>554</v>
      </c>
      <c r="E1096" t="s">
        <v>555</v>
      </c>
      <c r="F1096">
        <v>3060</v>
      </c>
      <c r="G1096">
        <v>0</v>
      </c>
      <c r="H1096">
        <v>0</v>
      </c>
      <c r="I1096">
        <v>900</v>
      </c>
      <c r="J1096">
        <v>1</v>
      </c>
      <c r="K1096">
        <v>0</v>
      </c>
      <c r="L1096">
        <v>0</v>
      </c>
      <c r="M1096">
        <v>0</v>
      </c>
      <c r="N1096">
        <v>1</v>
      </c>
    </row>
    <row r="1097" spans="1:14">
      <c r="A1097" t="s">
        <v>140</v>
      </c>
      <c r="B1097" t="s">
        <v>1773</v>
      </c>
      <c r="C1097" t="s">
        <v>557</v>
      </c>
      <c r="D1097" t="s">
        <v>900</v>
      </c>
      <c r="E1097" t="s">
        <v>570</v>
      </c>
      <c r="F1097">
        <v>2904</v>
      </c>
      <c r="G1097">
        <v>1</v>
      </c>
      <c r="H1097">
        <v>6</v>
      </c>
      <c r="I1097">
        <v>0</v>
      </c>
      <c r="J1097">
        <v>1</v>
      </c>
      <c r="K1097">
        <v>7</v>
      </c>
      <c r="L1097">
        <v>0</v>
      </c>
      <c r="M1097">
        <v>0</v>
      </c>
      <c r="N1097">
        <v>0</v>
      </c>
    </row>
    <row r="1098" spans="1:14">
      <c r="A1098" t="s">
        <v>140</v>
      </c>
      <c r="B1098" t="s">
        <v>1774</v>
      </c>
      <c r="C1098" t="s">
        <v>557</v>
      </c>
      <c r="D1098" t="s">
        <v>859</v>
      </c>
      <c r="E1098" t="s">
        <v>566</v>
      </c>
      <c r="F1098">
        <v>2213</v>
      </c>
      <c r="G1098">
        <v>1</v>
      </c>
      <c r="H1098">
        <v>2</v>
      </c>
      <c r="I1098">
        <v>0</v>
      </c>
      <c r="J1098">
        <v>1</v>
      </c>
      <c r="K1098">
        <v>3</v>
      </c>
      <c r="L1098">
        <v>0</v>
      </c>
      <c r="M1098">
        <v>0</v>
      </c>
      <c r="N1098">
        <v>0</v>
      </c>
    </row>
    <row r="1099" spans="1:14">
      <c r="A1099" t="s">
        <v>140</v>
      </c>
      <c r="B1099" t="s">
        <v>1775</v>
      </c>
      <c r="C1099" t="s">
        <v>553</v>
      </c>
      <c r="D1099" t="s">
        <v>631</v>
      </c>
      <c r="E1099" t="s">
        <v>610</v>
      </c>
      <c r="F1099">
        <v>1547</v>
      </c>
      <c r="G1099">
        <v>0</v>
      </c>
      <c r="H1099">
        <v>1</v>
      </c>
      <c r="I1099">
        <v>0</v>
      </c>
      <c r="J1099">
        <v>1</v>
      </c>
      <c r="K1099">
        <v>1</v>
      </c>
      <c r="L1099">
        <v>0</v>
      </c>
      <c r="M1099">
        <v>0</v>
      </c>
      <c r="N1099">
        <v>0</v>
      </c>
    </row>
    <row r="1100" spans="1:14">
      <c r="A1100" t="s">
        <v>140</v>
      </c>
      <c r="B1100" t="s">
        <v>1776</v>
      </c>
      <c r="C1100" t="s">
        <v>575</v>
      </c>
      <c r="D1100" t="s">
        <v>936</v>
      </c>
      <c r="E1100" t="s">
        <v>561</v>
      </c>
      <c r="F1100">
        <v>1872</v>
      </c>
      <c r="G1100">
        <v>8</v>
      </c>
      <c r="H1100">
        <v>3</v>
      </c>
      <c r="I1100">
        <v>0</v>
      </c>
      <c r="J1100">
        <v>1</v>
      </c>
      <c r="K1100">
        <v>11</v>
      </c>
      <c r="L1100">
        <v>1</v>
      </c>
      <c r="M1100">
        <v>0.52880000000000005</v>
      </c>
      <c r="N1100">
        <v>0</v>
      </c>
    </row>
    <row r="1101" spans="1:14">
      <c r="A1101" t="s">
        <v>140</v>
      </c>
      <c r="B1101" t="s">
        <v>1777</v>
      </c>
      <c r="C1101" t="s">
        <v>557</v>
      </c>
      <c r="D1101" t="s">
        <v>926</v>
      </c>
      <c r="E1101" t="s">
        <v>570</v>
      </c>
      <c r="F1101">
        <v>1173</v>
      </c>
      <c r="G1101">
        <v>1</v>
      </c>
      <c r="H1101">
        <v>1</v>
      </c>
      <c r="I1101">
        <v>0</v>
      </c>
      <c r="J1101">
        <v>1</v>
      </c>
      <c r="K1101">
        <v>2</v>
      </c>
      <c r="L1101">
        <v>0</v>
      </c>
      <c r="M1101">
        <v>0</v>
      </c>
      <c r="N1101">
        <v>0</v>
      </c>
    </row>
    <row r="1102" spans="1:14">
      <c r="A1102" t="s">
        <v>140</v>
      </c>
      <c r="B1102" t="s">
        <v>1778</v>
      </c>
      <c r="C1102" t="s">
        <v>553</v>
      </c>
      <c r="D1102" t="s">
        <v>1142</v>
      </c>
      <c r="E1102" t="s">
        <v>561</v>
      </c>
      <c r="F1102">
        <v>2031</v>
      </c>
      <c r="G1102">
        <v>2</v>
      </c>
      <c r="H1102">
        <v>1</v>
      </c>
      <c r="I1102">
        <v>505</v>
      </c>
      <c r="J1102">
        <v>1</v>
      </c>
      <c r="K1102">
        <v>3</v>
      </c>
      <c r="L1102">
        <v>0</v>
      </c>
      <c r="M1102">
        <v>0</v>
      </c>
      <c r="N1102">
        <v>1</v>
      </c>
    </row>
    <row r="1103" spans="1:14">
      <c r="A1103" t="s">
        <v>140</v>
      </c>
      <c r="B1103" t="s">
        <v>1779</v>
      </c>
      <c r="C1103" t="s">
        <v>557</v>
      </c>
      <c r="D1103" t="s">
        <v>1780</v>
      </c>
      <c r="E1103" t="s">
        <v>1781</v>
      </c>
      <c r="F1103">
        <v>2476</v>
      </c>
      <c r="G1103">
        <v>4</v>
      </c>
      <c r="H1103">
        <v>3</v>
      </c>
      <c r="I1103">
        <v>0</v>
      </c>
      <c r="J1103">
        <v>1</v>
      </c>
      <c r="K1103">
        <v>7</v>
      </c>
      <c r="L1103">
        <v>0</v>
      </c>
      <c r="M1103">
        <v>0</v>
      </c>
      <c r="N1103">
        <v>0</v>
      </c>
    </row>
    <row r="1104" spans="1:14">
      <c r="A1104" t="s">
        <v>140</v>
      </c>
      <c r="B1104" t="s">
        <v>1782</v>
      </c>
      <c r="C1104" t="s">
        <v>557</v>
      </c>
      <c r="D1104" t="s">
        <v>727</v>
      </c>
      <c r="E1104" t="s">
        <v>610</v>
      </c>
      <c r="F1104">
        <v>1594</v>
      </c>
      <c r="G1104">
        <v>2</v>
      </c>
      <c r="H1104">
        <v>6</v>
      </c>
      <c r="I1104">
        <v>0</v>
      </c>
      <c r="J1104">
        <v>1</v>
      </c>
      <c r="K1104">
        <v>8</v>
      </c>
      <c r="L1104">
        <v>0</v>
      </c>
      <c r="M1104">
        <v>0</v>
      </c>
      <c r="N1104">
        <v>0</v>
      </c>
    </row>
    <row r="1105" spans="1:14">
      <c r="A1105" t="s">
        <v>140</v>
      </c>
      <c r="B1105" t="s">
        <v>1783</v>
      </c>
      <c r="C1105" t="s">
        <v>557</v>
      </c>
      <c r="D1105" t="s">
        <v>727</v>
      </c>
      <c r="E1105" t="s">
        <v>610</v>
      </c>
      <c r="F1105">
        <v>2187</v>
      </c>
      <c r="G1105">
        <v>5</v>
      </c>
      <c r="H1105">
        <v>4</v>
      </c>
      <c r="I1105">
        <v>0</v>
      </c>
      <c r="J1105">
        <v>1</v>
      </c>
      <c r="K1105">
        <v>9</v>
      </c>
      <c r="L1105">
        <v>0</v>
      </c>
      <c r="M1105">
        <v>0</v>
      </c>
      <c r="N1105">
        <v>0</v>
      </c>
    </row>
    <row r="1106" spans="1:14">
      <c r="A1106" t="s">
        <v>140</v>
      </c>
      <c r="B1106" t="s">
        <v>1784</v>
      </c>
      <c r="C1106" t="s">
        <v>557</v>
      </c>
      <c r="D1106" t="s">
        <v>686</v>
      </c>
      <c r="E1106" t="s">
        <v>555</v>
      </c>
      <c r="F1106">
        <v>2077</v>
      </c>
      <c r="G1106">
        <v>5</v>
      </c>
      <c r="H1106">
        <v>4</v>
      </c>
      <c r="I1106">
        <v>0</v>
      </c>
      <c r="J1106">
        <v>1</v>
      </c>
      <c r="K1106">
        <v>9</v>
      </c>
      <c r="L1106">
        <v>0</v>
      </c>
      <c r="M1106">
        <v>0</v>
      </c>
      <c r="N1106">
        <v>0</v>
      </c>
    </row>
    <row r="1107" spans="1:14">
      <c r="A1107" t="s">
        <v>140</v>
      </c>
      <c r="B1107" t="s">
        <v>1785</v>
      </c>
      <c r="C1107" t="s">
        <v>557</v>
      </c>
      <c r="D1107" t="s">
        <v>1786</v>
      </c>
      <c r="E1107" t="s">
        <v>566</v>
      </c>
      <c r="F1107">
        <v>2892</v>
      </c>
      <c r="G1107">
        <v>1</v>
      </c>
      <c r="H1107">
        <v>2</v>
      </c>
      <c r="I1107">
        <v>0</v>
      </c>
      <c r="J1107">
        <v>1</v>
      </c>
      <c r="K1107">
        <v>3</v>
      </c>
      <c r="L1107">
        <v>0</v>
      </c>
      <c r="M1107">
        <v>0</v>
      </c>
      <c r="N1107">
        <v>0</v>
      </c>
    </row>
    <row r="1108" spans="1:14">
      <c r="A1108" t="s">
        <v>140</v>
      </c>
      <c r="B1108" t="s">
        <v>1787</v>
      </c>
      <c r="C1108" t="s">
        <v>553</v>
      </c>
      <c r="D1108" t="s">
        <v>688</v>
      </c>
      <c r="E1108" t="s">
        <v>555</v>
      </c>
      <c r="F1108">
        <v>1810</v>
      </c>
      <c r="G1108">
        <v>2</v>
      </c>
      <c r="H1108">
        <v>1</v>
      </c>
      <c r="I1108">
        <v>0</v>
      </c>
      <c r="J1108">
        <v>1</v>
      </c>
      <c r="K1108">
        <v>3</v>
      </c>
      <c r="L1108">
        <v>0</v>
      </c>
      <c r="M1108">
        <v>0</v>
      </c>
      <c r="N1108">
        <v>0</v>
      </c>
    </row>
    <row r="1109" spans="1:14">
      <c r="A1109" t="s">
        <v>140</v>
      </c>
      <c r="B1109" t="s">
        <v>1788</v>
      </c>
      <c r="C1109" t="s">
        <v>553</v>
      </c>
      <c r="D1109" t="s">
        <v>741</v>
      </c>
      <c r="E1109" t="s">
        <v>555</v>
      </c>
      <c r="F1109">
        <v>898</v>
      </c>
      <c r="G1109">
        <v>0</v>
      </c>
      <c r="H1109">
        <v>1</v>
      </c>
      <c r="I1109">
        <v>0</v>
      </c>
      <c r="J1109">
        <v>1</v>
      </c>
      <c r="K1109">
        <v>1</v>
      </c>
      <c r="L1109">
        <v>0</v>
      </c>
      <c r="M1109">
        <v>0</v>
      </c>
      <c r="N1109">
        <v>0</v>
      </c>
    </row>
    <row r="1110" spans="1:14">
      <c r="A1110" t="s">
        <v>140</v>
      </c>
      <c r="B1110" t="s">
        <v>1789</v>
      </c>
      <c r="C1110" t="s">
        <v>557</v>
      </c>
      <c r="D1110" t="s">
        <v>729</v>
      </c>
      <c r="E1110" t="s">
        <v>566</v>
      </c>
      <c r="F1110">
        <v>701</v>
      </c>
      <c r="G1110">
        <v>0</v>
      </c>
      <c r="H1110">
        <v>1</v>
      </c>
      <c r="I1110">
        <v>0</v>
      </c>
      <c r="J1110">
        <v>1</v>
      </c>
      <c r="K1110">
        <v>1</v>
      </c>
      <c r="L1110">
        <v>0</v>
      </c>
      <c r="M1110">
        <v>0</v>
      </c>
      <c r="N1110">
        <v>0</v>
      </c>
    </row>
    <row r="1111" spans="1:14">
      <c r="A1111" t="s">
        <v>140</v>
      </c>
      <c r="B1111" t="s">
        <v>1790</v>
      </c>
      <c r="C1111" t="s">
        <v>553</v>
      </c>
      <c r="D1111" t="s">
        <v>969</v>
      </c>
      <c r="E1111" t="s">
        <v>555</v>
      </c>
      <c r="F1111">
        <v>2435</v>
      </c>
      <c r="G1111">
        <v>0</v>
      </c>
      <c r="H1111">
        <v>4</v>
      </c>
      <c r="I1111">
        <v>0</v>
      </c>
      <c r="J1111">
        <v>1</v>
      </c>
      <c r="K1111">
        <v>4</v>
      </c>
      <c r="L1111">
        <v>0</v>
      </c>
      <c r="M1111">
        <v>0</v>
      </c>
      <c r="N1111">
        <v>0</v>
      </c>
    </row>
    <row r="1112" spans="1:14">
      <c r="A1112" t="s">
        <v>140</v>
      </c>
      <c r="B1112" t="s">
        <v>1791</v>
      </c>
      <c r="C1112" t="s">
        <v>575</v>
      </c>
      <c r="D1112" t="s">
        <v>890</v>
      </c>
      <c r="E1112" t="s">
        <v>570</v>
      </c>
      <c r="F1112">
        <v>73</v>
      </c>
      <c r="G1112">
        <v>0</v>
      </c>
      <c r="H1112">
        <v>0</v>
      </c>
      <c r="I1112">
        <v>0</v>
      </c>
      <c r="J1112">
        <v>1</v>
      </c>
      <c r="K1112">
        <v>0</v>
      </c>
      <c r="L1112">
        <v>0</v>
      </c>
      <c r="M1112">
        <v>0</v>
      </c>
      <c r="N1112">
        <v>0</v>
      </c>
    </row>
    <row r="1113" spans="1:14">
      <c r="A1113" t="s">
        <v>140</v>
      </c>
      <c r="B1113" t="s">
        <v>1792</v>
      </c>
      <c r="C1113" t="s">
        <v>575</v>
      </c>
      <c r="I1113">
        <v>0</v>
      </c>
      <c r="N1113">
        <v>0</v>
      </c>
    </row>
    <row r="1114" spans="1:14">
      <c r="A1114" t="s">
        <v>140</v>
      </c>
      <c r="B1114" t="s">
        <v>1793</v>
      </c>
      <c r="C1114" t="s">
        <v>553</v>
      </c>
      <c r="D1114" t="s">
        <v>1794</v>
      </c>
      <c r="E1114" t="s">
        <v>610</v>
      </c>
      <c r="F1114">
        <v>1337</v>
      </c>
      <c r="G1114">
        <v>2</v>
      </c>
      <c r="H1114">
        <v>1</v>
      </c>
      <c r="I1114">
        <v>0</v>
      </c>
      <c r="J1114">
        <v>1</v>
      </c>
      <c r="K1114">
        <v>3</v>
      </c>
      <c r="L1114">
        <v>0</v>
      </c>
      <c r="M1114">
        <v>0</v>
      </c>
      <c r="N1114">
        <v>0</v>
      </c>
    </row>
    <row r="1115" spans="1:14">
      <c r="A1115" t="s">
        <v>140</v>
      </c>
      <c r="B1115" t="s">
        <v>1795</v>
      </c>
      <c r="C1115" t="s">
        <v>575</v>
      </c>
      <c r="D1115" t="s">
        <v>1298</v>
      </c>
      <c r="E1115" t="s">
        <v>570</v>
      </c>
      <c r="F1115">
        <v>1561</v>
      </c>
      <c r="G1115">
        <v>8</v>
      </c>
      <c r="H1115">
        <v>1</v>
      </c>
      <c r="I1115">
        <v>0</v>
      </c>
      <c r="J1115">
        <v>1</v>
      </c>
      <c r="K1115">
        <v>9</v>
      </c>
      <c r="L1115">
        <v>1</v>
      </c>
      <c r="M1115">
        <v>0.51890000000000003</v>
      </c>
      <c r="N1115">
        <v>0</v>
      </c>
    </row>
    <row r="1116" spans="1:14">
      <c r="A1116" t="s">
        <v>140</v>
      </c>
      <c r="B1116" t="s">
        <v>1796</v>
      </c>
      <c r="C1116" t="s">
        <v>575</v>
      </c>
      <c r="I1116">
        <v>0</v>
      </c>
      <c r="N1116">
        <v>0</v>
      </c>
    </row>
    <row r="1117" spans="1:14">
      <c r="A1117" t="s">
        <v>140</v>
      </c>
      <c r="B1117" t="s">
        <v>1797</v>
      </c>
      <c r="C1117" t="s">
        <v>553</v>
      </c>
      <c r="D1117" t="s">
        <v>558</v>
      </c>
      <c r="E1117" t="s">
        <v>555</v>
      </c>
      <c r="F1117">
        <v>1678</v>
      </c>
      <c r="G1117">
        <v>0</v>
      </c>
      <c r="H1117">
        <v>0</v>
      </c>
      <c r="I1117">
        <v>225</v>
      </c>
      <c r="J1117">
        <v>1</v>
      </c>
      <c r="K1117">
        <v>0</v>
      </c>
      <c r="L1117">
        <v>0</v>
      </c>
      <c r="M1117">
        <v>0</v>
      </c>
      <c r="N1117">
        <v>1</v>
      </c>
    </row>
    <row r="1118" spans="1:14">
      <c r="A1118" t="s">
        <v>140</v>
      </c>
      <c r="B1118" t="s">
        <v>1798</v>
      </c>
      <c r="C1118" t="s">
        <v>572</v>
      </c>
      <c r="I1118">
        <v>0</v>
      </c>
      <c r="N1118">
        <v>0</v>
      </c>
    </row>
    <row r="1119" spans="1:14">
      <c r="A1119" t="s">
        <v>140</v>
      </c>
      <c r="B1119" t="s">
        <v>1799</v>
      </c>
      <c r="C1119" t="s">
        <v>572</v>
      </c>
      <c r="D1119" t="s">
        <v>1681</v>
      </c>
      <c r="E1119" t="s">
        <v>561</v>
      </c>
      <c r="F1119">
        <v>2790</v>
      </c>
      <c r="G1119">
        <v>0</v>
      </c>
      <c r="H1119">
        <v>0</v>
      </c>
      <c r="I1119">
        <v>0</v>
      </c>
      <c r="J1119">
        <v>1</v>
      </c>
      <c r="K1119">
        <v>0</v>
      </c>
      <c r="L1119">
        <v>0</v>
      </c>
      <c r="M1119">
        <v>0</v>
      </c>
      <c r="N1119">
        <v>0</v>
      </c>
    </row>
    <row r="1120" spans="1:14">
      <c r="A1120" t="s">
        <v>144</v>
      </c>
      <c r="B1120" t="s">
        <v>1800</v>
      </c>
      <c r="C1120" t="s">
        <v>557</v>
      </c>
      <c r="D1120" t="s">
        <v>890</v>
      </c>
      <c r="E1120" t="s">
        <v>570</v>
      </c>
      <c r="F1120">
        <v>1229</v>
      </c>
      <c r="G1120">
        <v>1</v>
      </c>
      <c r="H1120">
        <v>4</v>
      </c>
      <c r="I1120">
        <v>0</v>
      </c>
      <c r="J1120">
        <v>1</v>
      </c>
      <c r="K1120">
        <v>5</v>
      </c>
      <c r="L1120">
        <v>0</v>
      </c>
      <c r="M1120">
        <v>0</v>
      </c>
      <c r="N1120">
        <v>0</v>
      </c>
    </row>
    <row r="1121" spans="1:14">
      <c r="A1121" t="s">
        <v>144</v>
      </c>
      <c r="B1121" t="s">
        <v>1801</v>
      </c>
      <c r="C1121" t="s">
        <v>553</v>
      </c>
      <c r="D1121" t="s">
        <v>1681</v>
      </c>
      <c r="E1121" t="s">
        <v>561</v>
      </c>
      <c r="F1121">
        <v>2610</v>
      </c>
      <c r="G1121">
        <v>0</v>
      </c>
      <c r="H1121">
        <v>1</v>
      </c>
      <c r="I1121">
        <v>0</v>
      </c>
      <c r="J1121">
        <v>1</v>
      </c>
      <c r="K1121">
        <v>1</v>
      </c>
      <c r="L1121">
        <v>0</v>
      </c>
      <c r="M1121">
        <v>0</v>
      </c>
      <c r="N1121">
        <v>0</v>
      </c>
    </row>
    <row r="1122" spans="1:14">
      <c r="A1122" t="s">
        <v>144</v>
      </c>
      <c r="B1122" t="s">
        <v>1802</v>
      </c>
      <c r="C1122" t="s">
        <v>553</v>
      </c>
      <c r="D1122" t="s">
        <v>579</v>
      </c>
      <c r="E1122" t="s">
        <v>561</v>
      </c>
      <c r="F1122">
        <v>1187</v>
      </c>
      <c r="G1122">
        <v>3</v>
      </c>
      <c r="H1122">
        <v>0</v>
      </c>
      <c r="I1122">
        <v>0</v>
      </c>
      <c r="J1122">
        <v>1</v>
      </c>
      <c r="K1122">
        <v>3</v>
      </c>
      <c r="L1122">
        <v>0</v>
      </c>
      <c r="M1122">
        <v>0</v>
      </c>
      <c r="N1122">
        <v>0</v>
      </c>
    </row>
    <row r="1123" spans="1:14">
      <c r="A1123" t="s">
        <v>144</v>
      </c>
      <c r="B1123" t="s">
        <v>1803</v>
      </c>
      <c r="C1123" t="s">
        <v>553</v>
      </c>
      <c r="I1123">
        <v>0</v>
      </c>
      <c r="N1123">
        <v>0</v>
      </c>
    </row>
    <row r="1124" spans="1:14">
      <c r="A1124" t="s">
        <v>144</v>
      </c>
      <c r="B1124" t="s">
        <v>1804</v>
      </c>
      <c r="C1124" t="s">
        <v>557</v>
      </c>
      <c r="D1124" t="s">
        <v>558</v>
      </c>
      <c r="E1124" t="s">
        <v>555</v>
      </c>
      <c r="F1124">
        <v>1444</v>
      </c>
      <c r="G1124">
        <v>0</v>
      </c>
      <c r="H1124">
        <v>0</v>
      </c>
      <c r="I1124">
        <v>368</v>
      </c>
      <c r="J1124">
        <v>1</v>
      </c>
      <c r="K1124">
        <v>0</v>
      </c>
      <c r="L1124">
        <v>0</v>
      </c>
      <c r="M1124">
        <v>0</v>
      </c>
      <c r="N1124">
        <v>0</v>
      </c>
    </row>
    <row r="1125" spans="1:14">
      <c r="A1125" t="s">
        <v>144</v>
      </c>
      <c r="B1125" t="s">
        <v>1805</v>
      </c>
      <c r="C1125" t="s">
        <v>557</v>
      </c>
      <c r="I1125">
        <v>0</v>
      </c>
      <c r="N1125">
        <v>0</v>
      </c>
    </row>
    <row r="1126" spans="1:14">
      <c r="A1126" t="s">
        <v>144</v>
      </c>
      <c r="B1126" t="s">
        <v>1806</v>
      </c>
      <c r="C1126" t="s">
        <v>553</v>
      </c>
      <c r="I1126">
        <v>0</v>
      </c>
      <c r="N1126">
        <v>0</v>
      </c>
    </row>
    <row r="1127" spans="1:14">
      <c r="A1127" t="s">
        <v>144</v>
      </c>
      <c r="B1127" t="s">
        <v>1807</v>
      </c>
      <c r="C1127" t="s">
        <v>572</v>
      </c>
      <c r="I1127">
        <v>0</v>
      </c>
      <c r="N1127">
        <v>0</v>
      </c>
    </row>
    <row r="1128" spans="1:14">
      <c r="A1128" t="s">
        <v>144</v>
      </c>
      <c r="B1128" t="s">
        <v>1808</v>
      </c>
      <c r="C1128" t="s">
        <v>553</v>
      </c>
      <c r="I1128">
        <v>0</v>
      </c>
      <c r="N1128">
        <v>0</v>
      </c>
    </row>
    <row r="1129" spans="1:14">
      <c r="A1129" t="s">
        <v>144</v>
      </c>
      <c r="B1129" t="s">
        <v>1809</v>
      </c>
      <c r="C1129" t="s">
        <v>557</v>
      </c>
      <c r="D1129" t="s">
        <v>1810</v>
      </c>
      <c r="E1129" t="s">
        <v>555</v>
      </c>
      <c r="F1129">
        <v>2830</v>
      </c>
      <c r="G1129">
        <v>5</v>
      </c>
      <c r="H1129">
        <v>1</v>
      </c>
      <c r="I1129">
        <v>0</v>
      </c>
      <c r="J1129">
        <v>1</v>
      </c>
      <c r="K1129">
        <v>6</v>
      </c>
      <c r="L1129">
        <v>0</v>
      </c>
      <c r="M1129">
        <v>0</v>
      </c>
      <c r="N1129">
        <v>0</v>
      </c>
    </row>
    <row r="1130" spans="1:14">
      <c r="A1130" t="s">
        <v>144</v>
      </c>
      <c r="B1130" t="s">
        <v>1811</v>
      </c>
      <c r="C1130" t="s">
        <v>557</v>
      </c>
      <c r="D1130" t="s">
        <v>684</v>
      </c>
      <c r="E1130" t="s">
        <v>555</v>
      </c>
      <c r="F1130">
        <v>497</v>
      </c>
      <c r="G1130">
        <v>0</v>
      </c>
      <c r="H1130">
        <v>0</v>
      </c>
      <c r="I1130">
        <v>0</v>
      </c>
      <c r="J1130">
        <v>1</v>
      </c>
      <c r="K1130">
        <v>0</v>
      </c>
      <c r="L1130">
        <v>0</v>
      </c>
      <c r="M1130">
        <v>0</v>
      </c>
      <c r="N1130">
        <v>0</v>
      </c>
    </row>
    <row r="1131" spans="1:14">
      <c r="A1131" t="s">
        <v>144</v>
      </c>
      <c r="B1131" t="s">
        <v>1812</v>
      </c>
      <c r="C1131" t="s">
        <v>557</v>
      </c>
      <c r="D1131" t="s">
        <v>684</v>
      </c>
      <c r="E1131" t="s">
        <v>555</v>
      </c>
      <c r="F1131">
        <v>94</v>
      </c>
      <c r="G1131">
        <v>0</v>
      </c>
      <c r="H1131">
        <v>0</v>
      </c>
      <c r="I1131">
        <v>0</v>
      </c>
      <c r="J1131">
        <v>1</v>
      </c>
      <c r="K1131">
        <v>0</v>
      </c>
      <c r="L1131">
        <v>0</v>
      </c>
      <c r="M1131">
        <v>0</v>
      </c>
      <c r="N1131">
        <v>0</v>
      </c>
    </row>
    <row r="1132" spans="1:14">
      <c r="A1132" t="s">
        <v>144</v>
      </c>
      <c r="B1132" t="s">
        <v>1813</v>
      </c>
      <c r="C1132" t="s">
        <v>572</v>
      </c>
      <c r="I1132">
        <v>0</v>
      </c>
      <c r="N1132">
        <v>0</v>
      </c>
    </row>
    <row r="1133" spans="1:14">
      <c r="A1133" t="s">
        <v>144</v>
      </c>
      <c r="B1133" t="s">
        <v>1814</v>
      </c>
      <c r="C1133" t="s">
        <v>575</v>
      </c>
      <c r="I1133">
        <v>0</v>
      </c>
      <c r="N1133">
        <v>0</v>
      </c>
    </row>
    <row r="1134" spans="1:14">
      <c r="A1134" t="s">
        <v>144</v>
      </c>
      <c r="B1134" t="s">
        <v>1815</v>
      </c>
      <c r="C1134" t="s">
        <v>575</v>
      </c>
      <c r="I1134">
        <v>0</v>
      </c>
      <c r="N1134">
        <v>0</v>
      </c>
    </row>
    <row r="1135" spans="1:14">
      <c r="A1135" t="s">
        <v>144</v>
      </c>
      <c r="B1135" t="s">
        <v>1816</v>
      </c>
      <c r="C1135" t="s">
        <v>553</v>
      </c>
      <c r="I1135">
        <v>0</v>
      </c>
      <c r="N1135">
        <v>0</v>
      </c>
    </row>
    <row r="1136" spans="1:14">
      <c r="A1136" t="s">
        <v>144</v>
      </c>
      <c r="B1136" t="s">
        <v>1817</v>
      </c>
      <c r="C1136" t="s">
        <v>575</v>
      </c>
      <c r="I1136">
        <v>0</v>
      </c>
      <c r="N1136">
        <v>0</v>
      </c>
    </row>
    <row r="1137" spans="1:14">
      <c r="A1137" t="s">
        <v>144</v>
      </c>
      <c r="B1137" t="s">
        <v>1818</v>
      </c>
      <c r="C1137" t="s">
        <v>575</v>
      </c>
      <c r="I1137">
        <v>426</v>
      </c>
      <c r="N1137">
        <v>0</v>
      </c>
    </row>
    <row r="1138" spans="1:14">
      <c r="A1138" t="s">
        <v>144</v>
      </c>
      <c r="B1138" t="s">
        <v>1819</v>
      </c>
      <c r="C1138" t="s">
        <v>557</v>
      </c>
      <c r="I1138">
        <v>0</v>
      </c>
      <c r="N1138">
        <v>0</v>
      </c>
    </row>
    <row r="1139" spans="1:14">
      <c r="A1139" t="s">
        <v>144</v>
      </c>
      <c r="B1139" t="s">
        <v>1820</v>
      </c>
      <c r="C1139" t="s">
        <v>553</v>
      </c>
      <c r="I1139">
        <v>0</v>
      </c>
      <c r="N1139">
        <v>0</v>
      </c>
    </row>
    <row r="1140" spans="1:14">
      <c r="A1140" t="s">
        <v>144</v>
      </c>
      <c r="B1140" t="s">
        <v>1821</v>
      </c>
      <c r="C1140" t="s">
        <v>553</v>
      </c>
      <c r="I1140">
        <v>0</v>
      </c>
      <c r="N1140">
        <v>0</v>
      </c>
    </row>
    <row r="1141" spans="1:14">
      <c r="A1141" t="s">
        <v>144</v>
      </c>
      <c r="B1141" t="s">
        <v>1822</v>
      </c>
      <c r="C1141" t="s">
        <v>575</v>
      </c>
      <c r="I1141">
        <v>0</v>
      </c>
      <c r="N1141">
        <v>0</v>
      </c>
    </row>
    <row r="1142" spans="1:14">
      <c r="A1142" t="s">
        <v>144</v>
      </c>
      <c r="B1142" t="s">
        <v>1823</v>
      </c>
      <c r="C1142" t="s">
        <v>572</v>
      </c>
      <c r="I1142">
        <v>0</v>
      </c>
      <c r="N1142">
        <v>0</v>
      </c>
    </row>
    <row r="1143" spans="1:14">
      <c r="A1143" t="s">
        <v>144</v>
      </c>
      <c r="B1143" t="s">
        <v>1824</v>
      </c>
      <c r="C1143" t="s">
        <v>553</v>
      </c>
      <c r="I1143">
        <v>0</v>
      </c>
      <c r="N1143">
        <v>0</v>
      </c>
    </row>
    <row r="1144" spans="1:14">
      <c r="A1144" t="s">
        <v>144</v>
      </c>
      <c r="B1144" t="s">
        <v>1825</v>
      </c>
      <c r="C1144" t="s">
        <v>575</v>
      </c>
      <c r="I1144">
        <v>0</v>
      </c>
      <c r="N1144">
        <v>0</v>
      </c>
    </row>
    <row r="1145" spans="1:14">
      <c r="A1145" t="s">
        <v>144</v>
      </c>
      <c r="B1145" t="s">
        <v>1826</v>
      </c>
      <c r="C1145" t="s">
        <v>553</v>
      </c>
      <c r="I1145">
        <v>0</v>
      </c>
      <c r="N1145">
        <v>0</v>
      </c>
    </row>
    <row r="1146" spans="1:14">
      <c r="A1146" t="s">
        <v>142</v>
      </c>
      <c r="B1146" t="s">
        <v>1827</v>
      </c>
      <c r="C1146" t="s">
        <v>572</v>
      </c>
      <c r="I1146">
        <v>1087</v>
      </c>
      <c r="N1146">
        <v>1</v>
      </c>
    </row>
    <row r="1147" spans="1:14">
      <c r="A1147" t="s">
        <v>142</v>
      </c>
      <c r="B1147" t="s">
        <v>1828</v>
      </c>
      <c r="C1147" t="s">
        <v>557</v>
      </c>
      <c r="D1147" t="s">
        <v>677</v>
      </c>
      <c r="E1147" t="s">
        <v>610</v>
      </c>
      <c r="F1147">
        <v>2014</v>
      </c>
      <c r="G1147">
        <v>4</v>
      </c>
      <c r="H1147">
        <v>9</v>
      </c>
      <c r="I1147">
        <v>1019</v>
      </c>
      <c r="J1147">
        <v>1</v>
      </c>
      <c r="K1147">
        <v>13</v>
      </c>
      <c r="L1147">
        <v>0</v>
      </c>
      <c r="M1147">
        <v>0</v>
      </c>
      <c r="N1147">
        <v>0</v>
      </c>
    </row>
    <row r="1148" spans="1:14">
      <c r="A1148" t="s">
        <v>142</v>
      </c>
      <c r="B1148" t="s">
        <v>1829</v>
      </c>
      <c r="C1148" t="s">
        <v>553</v>
      </c>
      <c r="I1148">
        <v>965</v>
      </c>
      <c r="N1148">
        <v>1</v>
      </c>
    </row>
    <row r="1149" spans="1:14">
      <c r="A1149" t="s">
        <v>142</v>
      </c>
      <c r="B1149" t="s">
        <v>1830</v>
      </c>
      <c r="C1149" t="s">
        <v>557</v>
      </c>
      <c r="D1149" t="s">
        <v>798</v>
      </c>
      <c r="E1149" t="s">
        <v>566</v>
      </c>
      <c r="F1149">
        <v>2825</v>
      </c>
      <c r="G1149">
        <v>9</v>
      </c>
      <c r="H1149">
        <v>6</v>
      </c>
      <c r="I1149">
        <v>760</v>
      </c>
      <c r="J1149">
        <v>1</v>
      </c>
      <c r="K1149">
        <v>15</v>
      </c>
      <c r="L1149">
        <v>0</v>
      </c>
      <c r="M1149">
        <v>0</v>
      </c>
      <c r="N1149">
        <v>0</v>
      </c>
    </row>
    <row r="1150" spans="1:14">
      <c r="A1150" t="s">
        <v>142</v>
      </c>
      <c r="B1150" t="s">
        <v>1831</v>
      </c>
      <c r="C1150" t="s">
        <v>557</v>
      </c>
      <c r="D1150" t="s">
        <v>616</v>
      </c>
      <c r="E1150" t="s">
        <v>566</v>
      </c>
      <c r="F1150">
        <v>1639</v>
      </c>
      <c r="G1150">
        <v>5</v>
      </c>
      <c r="H1150">
        <v>4</v>
      </c>
      <c r="I1150">
        <v>335</v>
      </c>
      <c r="J1150">
        <v>1</v>
      </c>
      <c r="K1150">
        <v>9</v>
      </c>
      <c r="L1150">
        <v>0</v>
      </c>
      <c r="M1150">
        <v>0</v>
      </c>
      <c r="N1150">
        <v>0</v>
      </c>
    </row>
    <row r="1151" spans="1:14">
      <c r="A1151" t="s">
        <v>142</v>
      </c>
      <c r="B1151" t="s">
        <v>1832</v>
      </c>
      <c r="C1151" t="s">
        <v>553</v>
      </c>
      <c r="I1151">
        <v>0</v>
      </c>
      <c r="N1151">
        <v>0</v>
      </c>
    </row>
    <row r="1152" spans="1:14">
      <c r="A1152" t="s">
        <v>142</v>
      </c>
      <c r="B1152" t="s">
        <v>1833</v>
      </c>
      <c r="C1152" t="s">
        <v>557</v>
      </c>
      <c r="I1152">
        <v>984</v>
      </c>
      <c r="N1152">
        <v>0</v>
      </c>
    </row>
    <row r="1153" spans="1:14">
      <c r="A1153" t="s">
        <v>142</v>
      </c>
      <c r="B1153" t="s">
        <v>1834</v>
      </c>
      <c r="C1153" t="s">
        <v>553</v>
      </c>
      <c r="D1153" t="s">
        <v>950</v>
      </c>
      <c r="E1153" t="s">
        <v>566</v>
      </c>
      <c r="F1153">
        <v>2723</v>
      </c>
      <c r="G1153">
        <v>1</v>
      </c>
      <c r="H1153">
        <v>2</v>
      </c>
      <c r="I1153">
        <v>0</v>
      </c>
      <c r="J1153">
        <v>1</v>
      </c>
      <c r="K1153">
        <v>3</v>
      </c>
      <c r="L1153">
        <v>0</v>
      </c>
      <c r="M1153">
        <v>0</v>
      </c>
      <c r="N1153">
        <v>0</v>
      </c>
    </row>
    <row r="1154" spans="1:14">
      <c r="A1154" t="s">
        <v>142</v>
      </c>
      <c r="B1154" t="s">
        <v>1835</v>
      </c>
      <c r="C1154" t="s">
        <v>553</v>
      </c>
      <c r="D1154" t="s">
        <v>713</v>
      </c>
      <c r="E1154" t="s">
        <v>570</v>
      </c>
      <c r="F1154">
        <v>3133</v>
      </c>
      <c r="G1154">
        <v>1</v>
      </c>
      <c r="H1154">
        <v>0</v>
      </c>
      <c r="I1154">
        <v>0</v>
      </c>
      <c r="J1154">
        <v>1</v>
      </c>
      <c r="K1154">
        <v>1</v>
      </c>
      <c r="L1154">
        <v>0</v>
      </c>
      <c r="M1154">
        <v>0</v>
      </c>
      <c r="N1154">
        <v>0</v>
      </c>
    </row>
    <row r="1155" spans="1:14">
      <c r="A1155" t="s">
        <v>142</v>
      </c>
      <c r="B1155" t="s">
        <v>1836</v>
      </c>
      <c r="C1155" t="s">
        <v>557</v>
      </c>
      <c r="I1155">
        <v>0</v>
      </c>
      <c r="N1155">
        <v>0</v>
      </c>
    </row>
    <row r="1156" spans="1:14">
      <c r="A1156" t="s">
        <v>142</v>
      </c>
      <c r="B1156" t="s">
        <v>1837</v>
      </c>
      <c r="C1156" t="s">
        <v>557</v>
      </c>
      <c r="I1156">
        <v>0</v>
      </c>
      <c r="N1156">
        <v>0</v>
      </c>
    </row>
    <row r="1157" spans="1:14">
      <c r="A1157" t="s">
        <v>142</v>
      </c>
      <c r="B1157" t="s">
        <v>1838</v>
      </c>
      <c r="C1157" t="s">
        <v>575</v>
      </c>
      <c r="I1157">
        <v>0</v>
      </c>
      <c r="N1157">
        <v>0</v>
      </c>
    </row>
    <row r="1158" spans="1:14">
      <c r="A1158" t="s">
        <v>142</v>
      </c>
      <c r="B1158" t="s">
        <v>1839</v>
      </c>
      <c r="C1158" t="s">
        <v>553</v>
      </c>
      <c r="I1158">
        <v>277</v>
      </c>
      <c r="N1158">
        <v>1</v>
      </c>
    </row>
    <row r="1159" spans="1:14">
      <c r="A1159" t="s">
        <v>142</v>
      </c>
      <c r="B1159" t="s">
        <v>1840</v>
      </c>
      <c r="C1159" t="s">
        <v>553</v>
      </c>
      <c r="I1159">
        <v>0</v>
      </c>
      <c r="N1159">
        <v>0</v>
      </c>
    </row>
    <row r="1160" spans="1:14">
      <c r="A1160" t="s">
        <v>142</v>
      </c>
      <c r="B1160" t="s">
        <v>1841</v>
      </c>
      <c r="C1160" t="s">
        <v>557</v>
      </c>
      <c r="D1160" t="s">
        <v>554</v>
      </c>
      <c r="E1160" t="s">
        <v>555</v>
      </c>
      <c r="F1160">
        <v>81</v>
      </c>
      <c r="G1160">
        <v>0</v>
      </c>
      <c r="H1160">
        <v>0</v>
      </c>
      <c r="I1160">
        <v>0</v>
      </c>
      <c r="J1160">
        <v>1</v>
      </c>
      <c r="K1160">
        <v>0</v>
      </c>
      <c r="L1160">
        <v>0</v>
      </c>
      <c r="M1160">
        <v>0</v>
      </c>
      <c r="N1160">
        <v>0</v>
      </c>
    </row>
    <row r="1161" spans="1:14">
      <c r="A1161" t="s">
        <v>142</v>
      </c>
      <c r="B1161" t="s">
        <v>1842</v>
      </c>
      <c r="C1161" t="s">
        <v>553</v>
      </c>
      <c r="D1161" t="s">
        <v>695</v>
      </c>
      <c r="E1161" t="s">
        <v>555</v>
      </c>
      <c r="F1161">
        <v>1751</v>
      </c>
      <c r="G1161">
        <v>4</v>
      </c>
      <c r="H1161">
        <v>0</v>
      </c>
      <c r="I1161">
        <v>0</v>
      </c>
      <c r="J1161">
        <v>1</v>
      </c>
      <c r="K1161">
        <v>4</v>
      </c>
      <c r="L1161">
        <v>0</v>
      </c>
      <c r="M1161">
        <v>0</v>
      </c>
      <c r="N1161">
        <v>0</v>
      </c>
    </row>
    <row r="1162" spans="1:14">
      <c r="A1162" t="s">
        <v>142</v>
      </c>
      <c r="B1162" t="s">
        <v>1843</v>
      </c>
      <c r="C1162" t="s">
        <v>553</v>
      </c>
      <c r="I1162">
        <v>0</v>
      </c>
      <c r="N1162">
        <v>0</v>
      </c>
    </row>
    <row r="1163" spans="1:14">
      <c r="A1163" t="s">
        <v>142</v>
      </c>
      <c r="B1163" t="s">
        <v>1844</v>
      </c>
      <c r="C1163" t="s">
        <v>557</v>
      </c>
      <c r="I1163">
        <v>449</v>
      </c>
      <c r="N1163">
        <v>0</v>
      </c>
    </row>
    <row r="1164" spans="1:14">
      <c r="A1164" t="s">
        <v>142</v>
      </c>
      <c r="B1164" t="s">
        <v>1845</v>
      </c>
      <c r="C1164" t="s">
        <v>557</v>
      </c>
      <c r="D1164" t="s">
        <v>558</v>
      </c>
      <c r="E1164" t="s">
        <v>555</v>
      </c>
      <c r="F1164">
        <v>1156</v>
      </c>
      <c r="G1164">
        <v>7</v>
      </c>
      <c r="H1164">
        <v>4</v>
      </c>
      <c r="I1164">
        <v>238</v>
      </c>
      <c r="J1164">
        <v>1</v>
      </c>
      <c r="K1164">
        <v>11</v>
      </c>
      <c r="L1164">
        <v>0</v>
      </c>
      <c r="M1164">
        <v>0</v>
      </c>
      <c r="N1164">
        <v>0</v>
      </c>
    </row>
    <row r="1165" spans="1:14">
      <c r="A1165" t="s">
        <v>142</v>
      </c>
      <c r="B1165" t="s">
        <v>1846</v>
      </c>
      <c r="C1165" t="s">
        <v>575</v>
      </c>
      <c r="I1165">
        <v>0</v>
      </c>
      <c r="N1165">
        <v>0</v>
      </c>
    </row>
    <row r="1166" spans="1:14">
      <c r="A1166" t="s">
        <v>142</v>
      </c>
      <c r="B1166" t="s">
        <v>1847</v>
      </c>
      <c r="C1166" t="s">
        <v>553</v>
      </c>
      <c r="I1166">
        <v>0</v>
      </c>
      <c r="N1166">
        <v>0</v>
      </c>
    </row>
    <row r="1167" spans="1:14">
      <c r="A1167" t="s">
        <v>142</v>
      </c>
      <c r="B1167" t="s">
        <v>1848</v>
      </c>
      <c r="C1167" t="s">
        <v>553</v>
      </c>
      <c r="I1167">
        <v>47</v>
      </c>
      <c r="N1167">
        <v>1</v>
      </c>
    </row>
    <row r="1168" spans="1:14">
      <c r="A1168" t="s">
        <v>142</v>
      </c>
      <c r="B1168" t="s">
        <v>1849</v>
      </c>
      <c r="C1168" t="s">
        <v>557</v>
      </c>
      <c r="I1168">
        <v>0</v>
      </c>
      <c r="N1168">
        <v>0</v>
      </c>
    </row>
    <row r="1169" spans="1:14">
      <c r="A1169" t="s">
        <v>142</v>
      </c>
      <c r="B1169" t="s">
        <v>1850</v>
      </c>
      <c r="C1169" t="s">
        <v>553</v>
      </c>
      <c r="I1169">
        <v>0</v>
      </c>
      <c r="N1169">
        <v>0</v>
      </c>
    </row>
    <row r="1170" spans="1:14">
      <c r="A1170" t="s">
        <v>142</v>
      </c>
      <c r="B1170" t="s">
        <v>1851</v>
      </c>
      <c r="C1170" t="s">
        <v>572</v>
      </c>
      <c r="D1170" t="s">
        <v>604</v>
      </c>
      <c r="E1170" t="s">
        <v>570</v>
      </c>
      <c r="F1170">
        <v>540</v>
      </c>
      <c r="G1170">
        <v>0</v>
      </c>
      <c r="H1170">
        <v>0</v>
      </c>
      <c r="I1170">
        <v>0</v>
      </c>
      <c r="J1170">
        <v>1</v>
      </c>
      <c r="K1170">
        <v>0</v>
      </c>
      <c r="L1170">
        <v>0</v>
      </c>
      <c r="M1170">
        <v>0</v>
      </c>
      <c r="N1170">
        <v>0</v>
      </c>
    </row>
    <row r="1171" spans="1:14">
      <c r="A1171" t="s">
        <v>142</v>
      </c>
      <c r="B1171" t="s">
        <v>1852</v>
      </c>
      <c r="C1171" t="s">
        <v>572</v>
      </c>
      <c r="I1171">
        <v>0</v>
      </c>
      <c r="N1171">
        <v>0</v>
      </c>
    </row>
    <row r="1172" spans="1:14">
      <c r="A1172" t="s">
        <v>145</v>
      </c>
      <c r="B1172" t="s">
        <v>1853</v>
      </c>
      <c r="C1172" t="s">
        <v>557</v>
      </c>
      <c r="D1172" t="s">
        <v>606</v>
      </c>
      <c r="E1172" t="s">
        <v>570</v>
      </c>
      <c r="F1172">
        <v>1883</v>
      </c>
      <c r="G1172">
        <v>1</v>
      </c>
      <c r="H1172">
        <v>1</v>
      </c>
      <c r="I1172">
        <v>410</v>
      </c>
      <c r="J1172">
        <v>1</v>
      </c>
      <c r="K1172">
        <v>2</v>
      </c>
      <c r="L1172">
        <v>0</v>
      </c>
      <c r="M1172">
        <v>0</v>
      </c>
      <c r="N1172">
        <v>0</v>
      </c>
    </row>
    <row r="1173" spans="1:14">
      <c r="A1173" t="s">
        <v>145</v>
      </c>
      <c r="B1173" t="s">
        <v>1854</v>
      </c>
      <c r="C1173" t="s">
        <v>553</v>
      </c>
      <c r="I1173">
        <v>0</v>
      </c>
      <c r="N1173">
        <v>0</v>
      </c>
    </row>
    <row r="1174" spans="1:14">
      <c r="A1174" t="s">
        <v>145</v>
      </c>
      <c r="B1174" t="s">
        <v>1855</v>
      </c>
      <c r="C1174" t="s">
        <v>553</v>
      </c>
      <c r="D1174" t="s">
        <v>715</v>
      </c>
      <c r="E1174" t="s">
        <v>566</v>
      </c>
      <c r="F1174">
        <v>1370</v>
      </c>
      <c r="G1174">
        <v>0</v>
      </c>
      <c r="H1174">
        <v>0</v>
      </c>
      <c r="I1174">
        <v>328</v>
      </c>
      <c r="J1174">
        <v>1</v>
      </c>
      <c r="K1174">
        <v>0</v>
      </c>
      <c r="L1174">
        <v>0</v>
      </c>
      <c r="M1174">
        <v>0</v>
      </c>
      <c r="N1174">
        <v>1</v>
      </c>
    </row>
    <row r="1175" spans="1:14">
      <c r="A1175" t="s">
        <v>145</v>
      </c>
      <c r="B1175" t="s">
        <v>1856</v>
      </c>
      <c r="C1175" t="s">
        <v>553</v>
      </c>
      <c r="I1175">
        <v>0</v>
      </c>
      <c r="N1175">
        <v>0</v>
      </c>
    </row>
    <row r="1176" spans="1:14">
      <c r="A1176" t="s">
        <v>145</v>
      </c>
      <c r="B1176" t="s">
        <v>1857</v>
      </c>
      <c r="C1176" t="s">
        <v>575</v>
      </c>
      <c r="I1176">
        <v>977</v>
      </c>
      <c r="N1176">
        <v>0</v>
      </c>
    </row>
    <row r="1177" spans="1:14">
      <c r="A1177" t="s">
        <v>145</v>
      </c>
      <c r="B1177" t="s">
        <v>1858</v>
      </c>
      <c r="C1177" t="s">
        <v>557</v>
      </c>
      <c r="D1177" t="s">
        <v>677</v>
      </c>
      <c r="E1177" t="s">
        <v>610</v>
      </c>
      <c r="F1177">
        <v>2740</v>
      </c>
      <c r="G1177">
        <v>5</v>
      </c>
      <c r="H1177">
        <v>8</v>
      </c>
      <c r="I1177">
        <v>1161</v>
      </c>
      <c r="J1177">
        <v>1</v>
      </c>
      <c r="K1177">
        <v>13</v>
      </c>
      <c r="L1177">
        <v>0</v>
      </c>
      <c r="M1177">
        <v>0</v>
      </c>
      <c r="N1177">
        <v>0</v>
      </c>
    </row>
    <row r="1178" spans="1:14">
      <c r="A1178" t="s">
        <v>145</v>
      </c>
      <c r="B1178" t="s">
        <v>1859</v>
      </c>
      <c r="C1178" t="s">
        <v>572</v>
      </c>
      <c r="I1178">
        <v>0</v>
      </c>
      <c r="N1178">
        <v>0</v>
      </c>
    </row>
    <row r="1179" spans="1:14">
      <c r="A1179" t="s">
        <v>145</v>
      </c>
      <c r="B1179" t="s">
        <v>1860</v>
      </c>
      <c r="C1179" t="s">
        <v>557</v>
      </c>
      <c r="D1179" t="s">
        <v>604</v>
      </c>
      <c r="E1179" t="s">
        <v>570</v>
      </c>
      <c r="F1179">
        <v>887</v>
      </c>
      <c r="G1179">
        <v>0</v>
      </c>
      <c r="H1179">
        <v>0</v>
      </c>
      <c r="I1179">
        <v>0</v>
      </c>
      <c r="J1179">
        <v>1</v>
      </c>
      <c r="K1179">
        <v>0</v>
      </c>
      <c r="L1179">
        <v>0</v>
      </c>
      <c r="M1179">
        <v>0</v>
      </c>
      <c r="N1179">
        <v>0</v>
      </c>
    </row>
    <row r="1180" spans="1:14">
      <c r="A1180" t="s">
        <v>145</v>
      </c>
      <c r="B1180" t="s">
        <v>1861</v>
      </c>
      <c r="C1180" t="s">
        <v>575</v>
      </c>
      <c r="I1180">
        <v>0</v>
      </c>
      <c r="N1180">
        <v>0</v>
      </c>
    </row>
    <row r="1181" spans="1:14">
      <c r="A1181" t="s">
        <v>145</v>
      </c>
      <c r="B1181" t="s">
        <v>1862</v>
      </c>
      <c r="C1181" t="s">
        <v>553</v>
      </c>
      <c r="I1181">
        <v>0</v>
      </c>
      <c r="N1181">
        <v>0</v>
      </c>
    </row>
    <row r="1182" spans="1:14">
      <c r="A1182" t="s">
        <v>145</v>
      </c>
      <c r="B1182" t="s">
        <v>1863</v>
      </c>
      <c r="C1182" t="s">
        <v>575</v>
      </c>
      <c r="D1182" t="s">
        <v>1078</v>
      </c>
      <c r="E1182" t="s">
        <v>610</v>
      </c>
      <c r="F1182">
        <v>2439</v>
      </c>
      <c r="G1182">
        <v>7</v>
      </c>
      <c r="H1182">
        <v>1</v>
      </c>
      <c r="I1182">
        <v>0</v>
      </c>
      <c r="J1182">
        <v>1</v>
      </c>
      <c r="K1182">
        <v>8</v>
      </c>
      <c r="L1182">
        <v>1</v>
      </c>
      <c r="M1182">
        <v>0.29520000000000002</v>
      </c>
      <c r="N1182">
        <v>0</v>
      </c>
    </row>
    <row r="1183" spans="1:14">
      <c r="A1183" t="s">
        <v>145</v>
      </c>
      <c r="B1183" t="s">
        <v>1864</v>
      </c>
      <c r="C1183" t="s">
        <v>575</v>
      </c>
      <c r="I1183">
        <v>0</v>
      </c>
      <c r="N1183">
        <v>0</v>
      </c>
    </row>
    <row r="1184" spans="1:14">
      <c r="A1184" t="s">
        <v>145</v>
      </c>
      <c r="B1184" t="s">
        <v>1865</v>
      </c>
      <c r="C1184" t="s">
        <v>553</v>
      </c>
      <c r="I1184">
        <v>0</v>
      </c>
      <c r="N1184">
        <v>0</v>
      </c>
    </row>
    <row r="1185" spans="1:14">
      <c r="A1185" t="s">
        <v>145</v>
      </c>
      <c r="B1185" t="s">
        <v>1866</v>
      </c>
      <c r="C1185" t="s">
        <v>557</v>
      </c>
      <c r="I1185">
        <v>0</v>
      </c>
      <c r="N1185">
        <v>0</v>
      </c>
    </row>
    <row r="1186" spans="1:14">
      <c r="A1186" t="s">
        <v>145</v>
      </c>
      <c r="B1186" t="s">
        <v>1867</v>
      </c>
      <c r="C1186" t="s">
        <v>572</v>
      </c>
      <c r="I1186">
        <v>0</v>
      </c>
      <c r="N1186">
        <v>0</v>
      </c>
    </row>
    <row r="1187" spans="1:14">
      <c r="A1187" t="s">
        <v>145</v>
      </c>
      <c r="B1187" t="s">
        <v>1868</v>
      </c>
      <c r="C1187" t="s">
        <v>575</v>
      </c>
      <c r="I1187">
        <v>0</v>
      </c>
      <c r="N1187">
        <v>0</v>
      </c>
    </row>
    <row r="1188" spans="1:14">
      <c r="A1188" t="s">
        <v>145</v>
      </c>
      <c r="B1188" t="s">
        <v>1869</v>
      </c>
      <c r="C1188" t="s">
        <v>575</v>
      </c>
      <c r="I1188">
        <v>0</v>
      </c>
      <c r="N1188">
        <v>0</v>
      </c>
    </row>
    <row r="1189" spans="1:14">
      <c r="A1189" t="s">
        <v>145</v>
      </c>
      <c r="B1189" t="s">
        <v>1870</v>
      </c>
      <c r="C1189" t="s">
        <v>553</v>
      </c>
      <c r="D1189" t="s">
        <v>783</v>
      </c>
      <c r="E1189" t="s">
        <v>610</v>
      </c>
      <c r="F1189">
        <v>1071</v>
      </c>
      <c r="G1189">
        <v>3</v>
      </c>
      <c r="H1189">
        <v>0</v>
      </c>
      <c r="I1189">
        <v>447</v>
      </c>
      <c r="J1189">
        <v>1</v>
      </c>
      <c r="K1189">
        <v>3</v>
      </c>
      <c r="L1189">
        <v>0</v>
      </c>
      <c r="M1189">
        <v>0</v>
      </c>
      <c r="N1189">
        <v>1</v>
      </c>
    </row>
    <row r="1190" spans="1:14">
      <c r="A1190" t="s">
        <v>145</v>
      </c>
      <c r="B1190" t="s">
        <v>1871</v>
      </c>
      <c r="C1190" t="s">
        <v>575</v>
      </c>
      <c r="I1190">
        <v>0</v>
      </c>
      <c r="N1190">
        <v>0</v>
      </c>
    </row>
    <row r="1191" spans="1:14">
      <c r="A1191" t="s">
        <v>145</v>
      </c>
      <c r="B1191" t="s">
        <v>1872</v>
      </c>
      <c r="C1191" t="s">
        <v>553</v>
      </c>
      <c r="D1191" t="s">
        <v>691</v>
      </c>
      <c r="E1191" t="s">
        <v>570</v>
      </c>
      <c r="F1191">
        <v>2553</v>
      </c>
      <c r="G1191">
        <v>3</v>
      </c>
      <c r="H1191">
        <v>1</v>
      </c>
      <c r="I1191">
        <v>0</v>
      </c>
      <c r="J1191">
        <v>1</v>
      </c>
      <c r="K1191">
        <v>4</v>
      </c>
      <c r="L1191">
        <v>0</v>
      </c>
      <c r="M1191">
        <v>0</v>
      </c>
      <c r="N1191">
        <v>0</v>
      </c>
    </row>
    <row r="1192" spans="1:14">
      <c r="A1192" t="s">
        <v>145</v>
      </c>
      <c r="B1192" t="s">
        <v>1873</v>
      </c>
      <c r="C1192" t="s">
        <v>553</v>
      </c>
      <c r="D1192" t="s">
        <v>609</v>
      </c>
      <c r="E1192" t="s">
        <v>610</v>
      </c>
      <c r="F1192">
        <v>1178</v>
      </c>
      <c r="G1192">
        <v>0</v>
      </c>
      <c r="H1192">
        <v>1</v>
      </c>
      <c r="I1192">
        <v>285</v>
      </c>
      <c r="J1192">
        <v>1</v>
      </c>
      <c r="K1192">
        <v>1</v>
      </c>
      <c r="L1192">
        <v>0</v>
      </c>
      <c r="M1192">
        <v>0</v>
      </c>
      <c r="N1192">
        <v>1</v>
      </c>
    </row>
    <row r="1193" spans="1:14">
      <c r="A1193" t="s">
        <v>145</v>
      </c>
      <c r="B1193" t="s">
        <v>596</v>
      </c>
      <c r="C1193" t="s">
        <v>557</v>
      </c>
      <c r="I1193">
        <v>0</v>
      </c>
      <c r="N1193">
        <v>0</v>
      </c>
    </row>
    <row r="1194" spans="1:14">
      <c r="A1194" t="s">
        <v>145</v>
      </c>
      <c r="B1194" t="s">
        <v>1874</v>
      </c>
      <c r="C1194" t="s">
        <v>572</v>
      </c>
      <c r="I1194">
        <v>0</v>
      </c>
      <c r="N1194">
        <v>0</v>
      </c>
    </row>
    <row r="1195" spans="1:14">
      <c r="A1195" t="s">
        <v>145</v>
      </c>
      <c r="B1195" t="s">
        <v>1875</v>
      </c>
      <c r="C1195" t="s">
        <v>575</v>
      </c>
      <c r="I1195">
        <v>0</v>
      </c>
      <c r="N1195">
        <v>0</v>
      </c>
    </row>
    <row r="1196" spans="1:14">
      <c r="A1196" t="s">
        <v>145</v>
      </c>
      <c r="B1196" t="s">
        <v>1876</v>
      </c>
      <c r="C1196" t="s">
        <v>553</v>
      </c>
      <c r="I1196">
        <v>0</v>
      </c>
      <c r="N1196">
        <v>0</v>
      </c>
    </row>
    <row r="1197" spans="1:14">
      <c r="A1197" t="s">
        <v>145</v>
      </c>
      <c r="B1197" t="s">
        <v>1877</v>
      </c>
      <c r="C1197" t="s">
        <v>575</v>
      </c>
      <c r="I1197">
        <v>0</v>
      </c>
      <c r="N1197">
        <v>0</v>
      </c>
    </row>
    <row r="1198" spans="1:14">
      <c r="A1198" t="s">
        <v>118</v>
      </c>
      <c r="B1198" t="s">
        <v>1878</v>
      </c>
      <c r="C1198" t="s">
        <v>557</v>
      </c>
      <c r="D1198" t="s">
        <v>798</v>
      </c>
      <c r="E1198" t="s">
        <v>566</v>
      </c>
      <c r="F1198">
        <v>2835</v>
      </c>
      <c r="G1198">
        <v>5</v>
      </c>
      <c r="H1198">
        <v>5</v>
      </c>
      <c r="I1198">
        <v>898</v>
      </c>
      <c r="J1198">
        <v>1</v>
      </c>
      <c r="K1198">
        <v>10</v>
      </c>
      <c r="L1198">
        <v>0</v>
      </c>
      <c r="M1198">
        <v>0</v>
      </c>
      <c r="N1198">
        <v>0</v>
      </c>
    </row>
    <row r="1199" spans="1:14">
      <c r="A1199" t="s">
        <v>118</v>
      </c>
      <c r="B1199" t="s">
        <v>1879</v>
      </c>
      <c r="C1199" t="s">
        <v>553</v>
      </c>
      <c r="D1199" t="s">
        <v>824</v>
      </c>
      <c r="E1199" t="s">
        <v>610</v>
      </c>
      <c r="F1199">
        <v>346</v>
      </c>
      <c r="G1199">
        <v>0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</row>
    <row r="1200" spans="1:14">
      <c r="A1200" t="s">
        <v>118</v>
      </c>
      <c r="B1200" t="s">
        <v>1880</v>
      </c>
      <c r="C1200" t="s">
        <v>572</v>
      </c>
      <c r="I1200">
        <v>0</v>
      </c>
      <c r="N1200">
        <v>0</v>
      </c>
    </row>
    <row r="1201" spans="1:14">
      <c r="A1201" t="s">
        <v>118</v>
      </c>
      <c r="B1201" t="s">
        <v>1881</v>
      </c>
      <c r="C1201" t="s">
        <v>553</v>
      </c>
      <c r="I1201">
        <v>0</v>
      </c>
      <c r="N1201">
        <v>0</v>
      </c>
    </row>
    <row r="1202" spans="1:14">
      <c r="A1202" t="s">
        <v>118</v>
      </c>
      <c r="B1202" t="s">
        <v>1882</v>
      </c>
      <c r="C1202" t="s">
        <v>553</v>
      </c>
      <c r="D1202" t="s">
        <v>862</v>
      </c>
      <c r="E1202" t="s">
        <v>570</v>
      </c>
      <c r="F1202">
        <v>2827</v>
      </c>
      <c r="G1202">
        <v>1</v>
      </c>
      <c r="H1202">
        <v>0</v>
      </c>
      <c r="I1202">
        <v>0</v>
      </c>
      <c r="J1202">
        <v>1</v>
      </c>
      <c r="K1202">
        <v>1</v>
      </c>
      <c r="L1202">
        <v>0</v>
      </c>
      <c r="M1202">
        <v>0</v>
      </c>
      <c r="N1202">
        <v>0</v>
      </c>
    </row>
    <row r="1203" spans="1:14">
      <c r="A1203" t="s">
        <v>118</v>
      </c>
      <c r="B1203" t="s">
        <v>1883</v>
      </c>
      <c r="C1203" t="s">
        <v>557</v>
      </c>
      <c r="D1203" t="s">
        <v>563</v>
      </c>
      <c r="E1203" t="s">
        <v>555</v>
      </c>
      <c r="F1203">
        <v>1674</v>
      </c>
      <c r="G1203">
        <v>6</v>
      </c>
      <c r="H1203">
        <v>1</v>
      </c>
      <c r="I1203">
        <v>535</v>
      </c>
      <c r="J1203">
        <v>1</v>
      </c>
      <c r="K1203">
        <v>7</v>
      </c>
      <c r="L1203">
        <v>0</v>
      </c>
      <c r="M1203">
        <v>0</v>
      </c>
      <c r="N1203">
        <v>0</v>
      </c>
    </row>
    <row r="1204" spans="1:14">
      <c r="A1204" t="s">
        <v>118</v>
      </c>
      <c r="B1204" t="s">
        <v>1884</v>
      </c>
      <c r="C1204" t="s">
        <v>553</v>
      </c>
      <c r="D1204" t="s">
        <v>710</v>
      </c>
      <c r="E1204" t="s">
        <v>570</v>
      </c>
      <c r="F1204">
        <v>1492</v>
      </c>
      <c r="G1204">
        <v>0</v>
      </c>
      <c r="H1204">
        <v>0</v>
      </c>
      <c r="I1204">
        <v>0</v>
      </c>
      <c r="J1204">
        <v>1</v>
      </c>
      <c r="K1204">
        <v>0</v>
      </c>
      <c r="L1204">
        <v>0</v>
      </c>
      <c r="M1204">
        <v>0</v>
      </c>
      <c r="N1204">
        <v>0</v>
      </c>
    </row>
    <row r="1205" spans="1:14">
      <c r="A1205" t="s">
        <v>118</v>
      </c>
      <c r="B1205" t="s">
        <v>1885</v>
      </c>
      <c r="C1205" t="s">
        <v>557</v>
      </c>
      <c r="D1205" t="s">
        <v>626</v>
      </c>
      <c r="E1205" t="s">
        <v>570</v>
      </c>
      <c r="F1205">
        <v>1772</v>
      </c>
      <c r="G1205">
        <v>2</v>
      </c>
      <c r="H1205">
        <v>2</v>
      </c>
      <c r="I1205">
        <v>0</v>
      </c>
      <c r="J1205">
        <v>1</v>
      </c>
      <c r="K1205">
        <v>4</v>
      </c>
      <c r="L1205">
        <v>0</v>
      </c>
      <c r="M1205">
        <v>0</v>
      </c>
      <c r="N1205">
        <v>0</v>
      </c>
    </row>
    <row r="1206" spans="1:14">
      <c r="A1206" t="s">
        <v>118</v>
      </c>
      <c r="B1206" t="s">
        <v>1886</v>
      </c>
      <c r="C1206" t="s">
        <v>575</v>
      </c>
      <c r="D1206" t="s">
        <v>1142</v>
      </c>
      <c r="E1206" t="s">
        <v>561</v>
      </c>
      <c r="F1206">
        <v>2230</v>
      </c>
      <c r="G1206">
        <v>10</v>
      </c>
      <c r="H1206">
        <v>4</v>
      </c>
      <c r="I1206">
        <v>805</v>
      </c>
      <c r="J1206">
        <v>1</v>
      </c>
      <c r="K1206">
        <v>14</v>
      </c>
      <c r="L1206">
        <v>1</v>
      </c>
      <c r="M1206">
        <v>0.56499999999999995</v>
      </c>
      <c r="N1206">
        <v>0</v>
      </c>
    </row>
    <row r="1207" spans="1:14">
      <c r="A1207" t="s">
        <v>118</v>
      </c>
      <c r="B1207" t="s">
        <v>1887</v>
      </c>
      <c r="C1207" t="s">
        <v>557</v>
      </c>
      <c r="I1207">
        <v>457</v>
      </c>
      <c r="N1207">
        <v>0</v>
      </c>
    </row>
    <row r="1208" spans="1:14">
      <c r="A1208" t="s">
        <v>118</v>
      </c>
      <c r="B1208" t="s">
        <v>1888</v>
      </c>
      <c r="C1208" t="s">
        <v>557</v>
      </c>
      <c r="D1208" t="s">
        <v>729</v>
      </c>
      <c r="E1208" t="s">
        <v>566</v>
      </c>
      <c r="F1208">
        <v>1609</v>
      </c>
      <c r="G1208">
        <v>8</v>
      </c>
      <c r="H1208">
        <v>4</v>
      </c>
      <c r="I1208">
        <v>0</v>
      </c>
      <c r="J1208">
        <v>1</v>
      </c>
      <c r="K1208">
        <v>12</v>
      </c>
      <c r="L1208">
        <v>0</v>
      </c>
      <c r="M1208">
        <v>0</v>
      </c>
      <c r="N1208">
        <v>0</v>
      </c>
    </row>
    <row r="1209" spans="1:14">
      <c r="A1209" t="s">
        <v>118</v>
      </c>
      <c r="B1209" t="s">
        <v>1889</v>
      </c>
      <c r="C1209" t="s">
        <v>575</v>
      </c>
      <c r="I1209">
        <v>152</v>
      </c>
      <c r="N1209">
        <v>0</v>
      </c>
    </row>
    <row r="1210" spans="1:14">
      <c r="A1210" t="s">
        <v>118</v>
      </c>
      <c r="B1210" t="s">
        <v>1890</v>
      </c>
      <c r="C1210" t="s">
        <v>557</v>
      </c>
      <c r="I1210">
        <v>0</v>
      </c>
      <c r="N1210">
        <v>0</v>
      </c>
    </row>
    <row r="1211" spans="1:14">
      <c r="A1211" t="s">
        <v>118</v>
      </c>
      <c r="B1211" t="s">
        <v>1891</v>
      </c>
      <c r="C1211" t="s">
        <v>557</v>
      </c>
      <c r="D1211" t="s">
        <v>763</v>
      </c>
      <c r="E1211" t="s">
        <v>555</v>
      </c>
      <c r="F1211">
        <v>520</v>
      </c>
      <c r="G1211">
        <v>1</v>
      </c>
      <c r="H1211">
        <v>0</v>
      </c>
      <c r="I1211">
        <v>0</v>
      </c>
      <c r="J1211">
        <v>1</v>
      </c>
      <c r="K1211">
        <v>1</v>
      </c>
      <c r="L1211">
        <v>0</v>
      </c>
      <c r="M1211">
        <v>0</v>
      </c>
      <c r="N1211">
        <v>0</v>
      </c>
    </row>
    <row r="1212" spans="1:14">
      <c r="A1212" t="s">
        <v>118</v>
      </c>
      <c r="B1212" t="s">
        <v>1892</v>
      </c>
      <c r="C1212" t="s">
        <v>553</v>
      </c>
      <c r="I1212">
        <v>0</v>
      </c>
      <c r="N1212">
        <v>0</v>
      </c>
    </row>
    <row r="1213" spans="1:14">
      <c r="A1213" t="s">
        <v>118</v>
      </c>
      <c r="B1213" t="s">
        <v>1893</v>
      </c>
      <c r="C1213" t="s">
        <v>553</v>
      </c>
      <c r="D1213" t="s">
        <v>1894</v>
      </c>
      <c r="E1213" t="s">
        <v>561</v>
      </c>
      <c r="F1213">
        <v>2404</v>
      </c>
      <c r="G1213">
        <v>0</v>
      </c>
      <c r="H1213">
        <v>2</v>
      </c>
      <c r="I1213">
        <v>0</v>
      </c>
      <c r="J1213">
        <v>1</v>
      </c>
      <c r="K1213">
        <v>2</v>
      </c>
      <c r="L1213">
        <v>0</v>
      </c>
      <c r="M1213">
        <v>0</v>
      </c>
      <c r="N1213">
        <v>0</v>
      </c>
    </row>
    <row r="1214" spans="1:14">
      <c r="A1214" t="s">
        <v>118</v>
      </c>
      <c r="B1214" t="s">
        <v>1895</v>
      </c>
      <c r="C1214" t="s">
        <v>553</v>
      </c>
      <c r="I1214">
        <v>0</v>
      </c>
      <c r="N1214">
        <v>0</v>
      </c>
    </row>
    <row r="1215" spans="1:14">
      <c r="A1215" t="s">
        <v>118</v>
      </c>
      <c r="B1215" t="s">
        <v>1896</v>
      </c>
      <c r="C1215" t="s">
        <v>572</v>
      </c>
      <c r="I1215">
        <v>0</v>
      </c>
      <c r="N1215">
        <v>0</v>
      </c>
    </row>
    <row r="1216" spans="1:14">
      <c r="A1216" t="s">
        <v>118</v>
      </c>
      <c r="B1216" t="s">
        <v>1897</v>
      </c>
      <c r="C1216" t="s">
        <v>553</v>
      </c>
      <c r="D1216" t="s">
        <v>763</v>
      </c>
      <c r="E1216" t="s">
        <v>555</v>
      </c>
      <c r="F1216">
        <v>2608</v>
      </c>
      <c r="G1216">
        <v>2</v>
      </c>
      <c r="H1216">
        <v>3</v>
      </c>
      <c r="I1216">
        <v>0</v>
      </c>
      <c r="J1216">
        <v>1</v>
      </c>
      <c r="K1216">
        <v>5</v>
      </c>
      <c r="L1216">
        <v>0</v>
      </c>
      <c r="M1216">
        <v>0</v>
      </c>
      <c r="N1216">
        <v>0</v>
      </c>
    </row>
    <row r="1217" spans="1:14">
      <c r="A1217" t="s">
        <v>118</v>
      </c>
      <c r="B1217" t="s">
        <v>1898</v>
      </c>
      <c r="C1217" t="s">
        <v>557</v>
      </c>
      <c r="D1217" t="s">
        <v>1298</v>
      </c>
      <c r="E1217" t="s">
        <v>570</v>
      </c>
      <c r="F1217">
        <v>2449</v>
      </c>
      <c r="G1217">
        <v>4</v>
      </c>
      <c r="H1217">
        <v>5</v>
      </c>
      <c r="I1217">
        <v>0</v>
      </c>
      <c r="J1217">
        <v>1</v>
      </c>
      <c r="K1217">
        <v>9</v>
      </c>
      <c r="L1217">
        <v>0</v>
      </c>
      <c r="M1217">
        <v>0</v>
      </c>
      <c r="N1217">
        <v>0</v>
      </c>
    </row>
    <row r="1218" spans="1:14">
      <c r="A1218" t="s">
        <v>118</v>
      </c>
      <c r="B1218" t="s">
        <v>1899</v>
      </c>
      <c r="C1218" t="s">
        <v>557</v>
      </c>
      <c r="D1218" t="s">
        <v>576</v>
      </c>
      <c r="E1218" t="s">
        <v>561</v>
      </c>
      <c r="F1218">
        <v>2253</v>
      </c>
      <c r="G1218">
        <v>2</v>
      </c>
      <c r="H1218">
        <v>2</v>
      </c>
      <c r="I1218">
        <v>503</v>
      </c>
      <c r="J1218">
        <v>1</v>
      </c>
      <c r="K1218">
        <v>4</v>
      </c>
      <c r="L1218">
        <v>0</v>
      </c>
      <c r="M1218">
        <v>0</v>
      </c>
      <c r="N1218">
        <v>0</v>
      </c>
    </row>
    <row r="1219" spans="1:14">
      <c r="A1219" t="s">
        <v>118</v>
      </c>
      <c r="B1219" t="s">
        <v>1900</v>
      </c>
      <c r="C1219" t="s">
        <v>575</v>
      </c>
      <c r="I1219">
        <v>0</v>
      </c>
      <c r="N1219">
        <v>0</v>
      </c>
    </row>
    <row r="1220" spans="1:14">
      <c r="A1220" t="s">
        <v>118</v>
      </c>
      <c r="B1220" t="s">
        <v>1901</v>
      </c>
      <c r="C1220" t="s">
        <v>575</v>
      </c>
      <c r="I1220">
        <v>0</v>
      </c>
      <c r="N1220">
        <v>0</v>
      </c>
    </row>
    <row r="1221" spans="1:14">
      <c r="A1221" t="s">
        <v>118</v>
      </c>
      <c r="B1221" t="s">
        <v>1902</v>
      </c>
      <c r="C1221" t="s">
        <v>557</v>
      </c>
      <c r="I1221">
        <v>0</v>
      </c>
      <c r="N1221">
        <v>0</v>
      </c>
    </row>
    <row r="1222" spans="1:14">
      <c r="A1222" t="s">
        <v>118</v>
      </c>
      <c r="B1222" t="s">
        <v>1903</v>
      </c>
      <c r="C1222" t="s">
        <v>572</v>
      </c>
      <c r="I1222">
        <v>0</v>
      </c>
      <c r="N1222">
        <v>0</v>
      </c>
    </row>
    <row r="1223" spans="1:14">
      <c r="A1223" t="s">
        <v>118</v>
      </c>
      <c r="B1223" t="s">
        <v>1904</v>
      </c>
      <c r="C1223" t="s">
        <v>557</v>
      </c>
      <c r="I1223">
        <v>0</v>
      </c>
      <c r="N1223">
        <v>0</v>
      </c>
    </row>
    <row r="1224" spans="1:14">
      <c r="A1224" t="s">
        <v>138</v>
      </c>
      <c r="B1224" t="s">
        <v>1905</v>
      </c>
      <c r="C1224" t="s">
        <v>553</v>
      </c>
      <c r="D1224" t="s">
        <v>569</v>
      </c>
      <c r="E1224" t="s">
        <v>570</v>
      </c>
      <c r="F1224">
        <v>1432</v>
      </c>
      <c r="G1224">
        <v>0</v>
      </c>
      <c r="H1224">
        <v>0</v>
      </c>
      <c r="I1224">
        <v>514</v>
      </c>
      <c r="J1224">
        <v>1</v>
      </c>
      <c r="K1224">
        <v>0</v>
      </c>
      <c r="L1224">
        <v>0</v>
      </c>
      <c r="M1224">
        <v>0</v>
      </c>
      <c r="N1224">
        <v>1</v>
      </c>
    </row>
    <row r="1225" spans="1:14">
      <c r="A1225" t="s">
        <v>138</v>
      </c>
      <c r="B1225" t="s">
        <v>1906</v>
      </c>
      <c r="C1225" t="s">
        <v>575</v>
      </c>
      <c r="I1225">
        <v>0</v>
      </c>
      <c r="N1225">
        <v>0</v>
      </c>
    </row>
    <row r="1226" spans="1:14">
      <c r="A1226" t="s">
        <v>138</v>
      </c>
      <c r="B1226" t="s">
        <v>1907</v>
      </c>
      <c r="C1226" t="s">
        <v>553</v>
      </c>
      <c r="I1226">
        <v>0</v>
      </c>
      <c r="N1226">
        <v>0</v>
      </c>
    </row>
    <row r="1227" spans="1:14">
      <c r="A1227" t="s">
        <v>138</v>
      </c>
      <c r="B1227" t="s">
        <v>1908</v>
      </c>
      <c r="C1227" t="s">
        <v>557</v>
      </c>
      <c r="I1227">
        <v>0</v>
      </c>
      <c r="N1227">
        <v>0</v>
      </c>
    </row>
    <row r="1228" spans="1:14">
      <c r="A1228" t="s">
        <v>138</v>
      </c>
      <c r="B1228" t="s">
        <v>1909</v>
      </c>
      <c r="C1228" t="s">
        <v>557</v>
      </c>
      <c r="I1228">
        <v>0</v>
      </c>
      <c r="N1228">
        <v>0</v>
      </c>
    </row>
    <row r="1229" spans="1:14">
      <c r="A1229" t="s">
        <v>138</v>
      </c>
      <c r="B1229" t="s">
        <v>1910</v>
      </c>
      <c r="C1229" t="s">
        <v>553</v>
      </c>
      <c r="I1229">
        <v>0</v>
      </c>
      <c r="N1229">
        <v>0</v>
      </c>
    </row>
    <row r="1230" spans="1:14">
      <c r="A1230" t="s">
        <v>138</v>
      </c>
      <c r="B1230" t="s">
        <v>1911</v>
      </c>
      <c r="C1230" t="s">
        <v>557</v>
      </c>
      <c r="I1230">
        <v>0</v>
      </c>
      <c r="N1230">
        <v>0</v>
      </c>
    </row>
    <row r="1231" spans="1:14">
      <c r="A1231" t="s">
        <v>138</v>
      </c>
      <c r="B1231" t="s">
        <v>1912</v>
      </c>
      <c r="C1231" t="s">
        <v>553</v>
      </c>
      <c r="I1231">
        <v>0</v>
      </c>
      <c r="N1231">
        <v>0</v>
      </c>
    </row>
    <row r="1232" spans="1:14">
      <c r="A1232" t="s">
        <v>138</v>
      </c>
      <c r="B1232" t="s">
        <v>1913</v>
      </c>
      <c r="C1232" t="s">
        <v>572</v>
      </c>
      <c r="I1232">
        <v>0</v>
      </c>
      <c r="N1232">
        <v>0</v>
      </c>
    </row>
    <row r="1233" spans="1:14">
      <c r="A1233" t="s">
        <v>138</v>
      </c>
      <c r="B1233" t="s">
        <v>1914</v>
      </c>
      <c r="C1233" t="s">
        <v>553</v>
      </c>
      <c r="I1233">
        <v>0</v>
      </c>
      <c r="N1233">
        <v>0</v>
      </c>
    </row>
    <row r="1234" spans="1:14">
      <c r="A1234" t="s">
        <v>138</v>
      </c>
      <c r="B1234" t="s">
        <v>1915</v>
      </c>
      <c r="C1234" t="s">
        <v>557</v>
      </c>
      <c r="I1234">
        <v>0</v>
      </c>
      <c r="N1234">
        <v>0</v>
      </c>
    </row>
    <row r="1235" spans="1:14">
      <c r="A1235" t="s">
        <v>138</v>
      </c>
      <c r="B1235" t="s">
        <v>1916</v>
      </c>
      <c r="C1235" t="s">
        <v>557</v>
      </c>
      <c r="I1235">
        <v>0</v>
      </c>
      <c r="N1235">
        <v>0</v>
      </c>
    </row>
    <row r="1236" spans="1:14">
      <c r="A1236" t="s">
        <v>138</v>
      </c>
      <c r="B1236" t="s">
        <v>1917</v>
      </c>
      <c r="C1236" t="s">
        <v>557</v>
      </c>
      <c r="I1236">
        <v>0</v>
      </c>
      <c r="N1236">
        <v>0</v>
      </c>
    </row>
    <row r="1237" spans="1:14">
      <c r="A1237" t="s">
        <v>138</v>
      </c>
      <c r="B1237" t="s">
        <v>1918</v>
      </c>
      <c r="C1237" t="s">
        <v>553</v>
      </c>
      <c r="I1237">
        <v>0</v>
      </c>
      <c r="N1237">
        <v>0</v>
      </c>
    </row>
    <row r="1238" spans="1:14">
      <c r="A1238" t="s">
        <v>138</v>
      </c>
      <c r="B1238" t="s">
        <v>1919</v>
      </c>
      <c r="C1238" t="s">
        <v>572</v>
      </c>
      <c r="I1238">
        <v>0</v>
      </c>
      <c r="N1238">
        <v>0</v>
      </c>
    </row>
    <row r="1239" spans="1:14">
      <c r="A1239" t="s">
        <v>138</v>
      </c>
      <c r="B1239" t="s">
        <v>1920</v>
      </c>
      <c r="C1239" t="s">
        <v>557</v>
      </c>
      <c r="I1239">
        <v>0</v>
      </c>
      <c r="N1239">
        <v>0</v>
      </c>
    </row>
    <row r="1240" spans="1:14">
      <c r="A1240" t="s">
        <v>138</v>
      </c>
      <c r="B1240" t="s">
        <v>1921</v>
      </c>
      <c r="C1240" t="s">
        <v>557</v>
      </c>
      <c r="I1240">
        <v>0</v>
      </c>
      <c r="N1240">
        <v>0</v>
      </c>
    </row>
    <row r="1241" spans="1:14">
      <c r="A1241" t="s">
        <v>138</v>
      </c>
      <c r="B1241" t="s">
        <v>1922</v>
      </c>
      <c r="C1241" t="s">
        <v>553</v>
      </c>
      <c r="I1241">
        <v>0</v>
      </c>
      <c r="N1241">
        <v>0</v>
      </c>
    </row>
    <row r="1242" spans="1:14">
      <c r="A1242" t="s">
        <v>138</v>
      </c>
      <c r="B1242" t="s">
        <v>1923</v>
      </c>
      <c r="C1242" t="s">
        <v>575</v>
      </c>
      <c r="I1242">
        <v>0</v>
      </c>
      <c r="N1242">
        <v>0</v>
      </c>
    </row>
    <row r="1243" spans="1:14">
      <c r="A1243" t="s">
        <v>138</v>
      </c>
      <c r="B1243" t="s">
        <v>1924</v>
      </c>
      <c r="C1243" t="s">
        <v>575</v>
      </c>
      <c r="I1243">
        <v>0</v>
      </c>
      <c r="N1243">
        <v>0</v>
      </c>
    </row>
    <row r="1244" spans="1:14">
      <c r="A1244" t="s">
        <v>138</v>
      </c>
      <c r="B1244" t="s">
        <v>1925</v>
      </c>
      <c r="C1244" t="s">
        <v>575</v>
      </c>
      <c r="I1244">
        <v>0</v>
      </c>
      <c r="N1244">
        <v>0</v>
      </c>
    </row>
    <row r="1245" spans="1:14">
      <c r="A1245" t="s">
        <v>138</v>
      </c>
      <c r="B1245" t="s">
        <v>1926</v>
      </c>
      <c r="C1245" t="s">
        <v>557</v>
      </c>
      <c r="I1245">
        <v>0</v>
      </c>
      <c r="N1245">
        <v>0</v>
      </c>
    </row>
    <row r="1246" spans="1:14">
      <c r="A1246" t="s">
        <v>138</v>
      </c>
      <c r="B1246" t="s">
        <v>1927</v>
      </c>
      <c r="C1246" t="s">
        <v>575</v>
      </c>
      <c r="I1246">
        <v>0</v>
      </c>
      <c r="N1246">
        <v>0</v>
      </c>
    </row>
    <row r="1247" spans="1:14">
      <c r="A1247" t="s">
        <v>138</v>
      </c>
      <c r="B1247" t="s">
        <v>1928</v>
      </c>
      <c r="C1247" t="s">
        <v>572</v>
      </c>
      <c r="I1247">
        <v>0</v>
      </c>
      <c r="N1247">
        <v>0</v>
      </c>
    </row>
    <row r="1248" spans="1:14">
      <c r="A1248" t="s">
        <v>138</v>
      </c>
      <c r="B1248" t="s">
        <v>1929</v>
      </c>
      <c r="C1248" t="s">
        <v>553</v>
      </c>
      <c r="I1248">
        <v>0</v>
      </c>
      <c r="N1248">
        <v>0</v>
      </c>
    </row>
    <row r="1249" spans="1:14">
      <c r="A1249" t="s">
        <v>138</v>
      </c>
      <c r="B1249" t="s">
        <v>1930</v>
      </c>
      <c r="C1249" t="s">
        <v>553</v>
      </c>
      <c r="I1249">
        <v>0</v>
      </c>
      <c r="N1249">
        <v>0</v>
      </c>
    </row>
  </sheetData>
  <autoFilter ref="A1:N1" xr:uid="{C0F46439-E086-374E-A801-34D8F747FE08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01859-4B36-2148-ABEB-4A9CF467426B}">
  <dimension ref="A1:C209"/>
  <sheetViews>
    <sheetView workbookViewId="0">
      <pane ySplit="1" topLeftCell="A2" activePane="bottomLeft" state="frozen"/>
      <selection pane="bottomLeft" activeCell="D4" sqref="D4"/>
    </sheetView>
  </sheetViews>
  <sheetFormatPr baseColWidth="10" defaultRowHeight="16"/>
  <cols>
    <col min="2" max="2" width="15.1640625" customWidth="1"/>
    <col min="3" max="3" width="10.83203125" style="11"/>
  </cols>
  <sheetData>
    <row r="1" spans="1:3">
      <c r="A1" t="s">
        <v>0</v>
      </c>
      <c r="B1" t="s">
        <v>314</v>
      </c>
      <c r="C1" s="11" t="s">
        <v>315</v>
      </c>
    </row>
    <row r="2" spans="1:3">
      <c r="A2">
        <f>INT((ROW()-2)/2)+1</f>
        <v>1</v>
      </c>
      <c r="B2" t="str">
        <f>IF(ISEVEN(ROW()),INDEX(Matches!$D$2:$D$105,MATCH(A2,Matches!$A$2:$A$105,0)),INDEX(Matches!$E$2:$E$105,MATCH(A2,Matches!$A$2:$A$105,0)))</f>
        <v>Mexico</v>
      </c>
      <c r="C2" s="11">
        <v>1.46</v>
      </c>
    </row>
    <row r="3" spans="1:3">
      <c r="A3">
        <f t="shared" ref="A3:A66" si="0">INT((ROW()-2)/2)+1</f>
        <v>1</v>
      </c>
      <c r="B3" t="str">
        <f>IF(ISEVEN(ROW()),INDEX(Matches!$D$2:$D$105,MATCH(A3,Matches!$A$2:$A$105,0)),INDEX(Matches!$E$2:$E$105,MATCH(A3,Matches!$A$2:$A$105,0)))</f>
        <v>South Africa</v>
      </c>
      <c r="C3" s="11">
        <v>7.0000000000000007E-2</v>
      </c>
    </row>
    <row r="4" spans="1:3">
      <c r="A4">
        <f t="shared" si="0"/>
        <v>2</v>
      </c>
      <c r="B4" t="str">
        <f>IF(ISEVEN(ROW()),INDEX(Matches!$D$2:$D$105,MATCH(A4,Matches!$A$2:$A$105,0)),INDEX(Matches!$E$2:$E$105,MATCH(A4,Matches!$A$2:$A$105,0)))</f>
        <v>Korea Republic</v>
      </c>
      <c r="C4" s="11">
        <v>2.2999999999999998</v>
      </c>
    </row>
    <row r="5" spans="1:3">
      <c r="A5">
        <f t="shared" si="0"/>
        <v>2</v>
      </c>
      <c r="B5" t="str">
        <f>IF(ISEVEN(ROW()),INDEX(Matches!$D$2:$D$105,MATCH(A5,Matches!$A$2:$A$105,0)),INDEX(Matches!$E$2:$E$105,MATCH(A5,Matches!$A$2:$A$105,0)))</f>
        <v>Czechia</v>
      </c>
      <c r="C5" s="11">
        <v>0.83</v>
      </c>
    </row>
    <row r="6" spans="1:3">
      <c r="A6">
        <f t="shared" si="0"/>
        <v>3</v>
      </c>
      <c r="B6" t="str">
        <f>IF(ISEVEN(ROW()),INDEX(Matches!$D$2:$D$105,MATCH(A6,Matches!$A$2:$A$105,0)),INDEX(Matches!$E$2:$E$105,MATCH(A6,Matches!$A$2:$A$105,0)))</f>
        <v>Canada</v>
      </c>
      <c r="C6" s="11">
        <v>1.25</v>
      </c>
    </row>
    <row r="7" spans="1:3">
      <c r="A7">
        <f t="shared" si="0"/>
        <v>3</v>
      </c>
      <c r="B7" t="str">
        <f>IF(ISEVEN(ROW()),INDEX(Matches!$D$2:$D$105,MATCH(A7,Matches!$A$2:$A$105,0)),INDEX(Matches!$E$2:$E$105,MATCH(A7,Matches!$A$2:$A$105,0)))</f>
        <v>Bosnia and Herzegovina</v>
      </c>
      <c r="C7" s="11">
        <v>0.98</v>
      </c>
    </row>
    <row r="8" spans="1:3">
      <c r="A8">
        <f t="shared" si="0"/>
        <v>4</v>
      </c>
      <c r="B8" t="str">
        <f>IF(ISEVEN(ROW()),INDEX(Matches!$D$2:$D$105,MATCH(A8,Matches!$A$2:$A$105,0)),INDEX(Matches!$E$2:$E$105,MATCH(A8,Matches!$A$2:$A$105,0)))</f>
        <v>USA</v>
      </c>
      <c r="C8" s="11">
        <v>1.42</v>
      </c>
    </row>
    <row r="9" spans="1:3">
      <c r="A9">
        <f t="shared" si="0"/>
        <v>4</v>
      </c>
      <c r="B9" t="str">
        <f>IF(ISEVEN(ROW()),INDEX(Matches!$D$2:$D$105,MATCH(A9,Matches!$A$2:$A$105,0)),INDEX(Matches!$E$2:$E$105,MATCH(A9,Matches!$A$2:$A$105,0)))</f>
        <v>Paraguay</v>
      </c>
      <c r="C9" s="11">
        <v>0.54</v>
      </c>
    </row>
    <row r="10" spans="1:3">
      <c r="A10">
        <f t="shared" si="0"/>
        <v>5</v>
      </c>
      <c r="B10" t="str">
        <f>IF(ISEVEN(ROW()),INDEX(Matches!$D$2:$D$105,MATCH(A10,Matches!$A$2:$A$105,0)),INDEX(Matches!$E$2:$E$105,MATCH(A10,Matches!$A$2:$A$105,0)))</f>
        <v>Qatar</v>
      </c>
      <c r="C10" s="11">
        <v>0.6</v>
      </c>
    </row>
    <row r="11" spans="1:3">
      <c r="A11">
        <f t="shared" si="0"/>
        <v>5</v>
      </c>
      <c r="B11" t="str">
        <f>IF(ISEVEN(ROW()),INDEX(Matches!$D$2:$D$105,MATCH(A11,Matches!$A$2:$A$105,0)),INDEX(Matches!$E$2:$E$105,MATCH(A11,Matches!$A$2:$A$105,0)))</f>
        <v>Switzerland</v>
      </c>
      <c r="C11" s="11">
        <v>3.2</v>
      </c>
    </row>
    <row r="12" spans="1:3">
      <c r="A12">
        <f t="shared" si="0"/>
        <v>6</v>
      </c>
      <c r="B12" t="str">
        <f>IF(ISEVEN(ROW()),INDEX(Matches!$D$2:$D$105,MATCH(A12,Matches!$A$2:$A$105,0)),INDEX(Matches!$E$2:$E$105,MATCH(A12,Matches!$A$2:$A$105,0)))</f>
        <v>Brazil</v>
      </c>
      <c r="C12" s="11">
        <v>1.26</v>
      </c>
    </row>
    <row r="13" spans="1:3">
      <c r="A13">
        <f t="shared" si="0"/>
        <v>6</v>
      </c>
      <c r="B13" t="str">
        <f>IF(ISEVEN(ROW()),INDEX(Matches!$D$2:$D$105,MATCH(A13,Matches!$A$2:$A$105,0)),INDEX(Matches!$E$2:$E$105,MATCH(A13,Matches!$A$2:$A$105,0)))</f>
        <v>Morocco</v>
      </c>
      <c r="C13" s="11">
        <v>1.37</v>
      </c>
    </row>
    <row r="14" spans="1:3">
      <c r="A14">
        <f t="shared" si="0"/>
        <v>7</v>
      </c>
      <c r="B14" t="str">
        <f>IF(ISEVEN(ROW()),INDEX(Matches!$D$2:$D$105,MATCH(A14,Matches!$A$2:$A$105,0)),INDEX(Matches!$E$2:$E$105,MATCH(A14,Matches!$A$2:$A$105,0)))</f>
        <v>Australia</v>
      </c>
      <c r="C14" s="11">
        <v>1.18</v>
      </c>
    </row>
    <row r="15" spans="1:3">
      <c r="A15">
        <f t="shared" si="0"/>
        <v>7</v>
      </c>
      <c r="B15" t="str">
        <f>IF(ISEVEN(ROW()),INDEX(Matches!$D$2:$D$105,MATCH(A15,Matches!$A$2:$A$105,0)),INDEX(Matches!$E$2:$E$105,MATCH(A15,Matches!$A$2:$A$105,0)))</f>
        <v>Türkiye</v>
      </c>
      <c r="C15" s="11">
        <v>1.36</v>
      </c>
    </row>
    <row r="16" spans="1:3">
      <c r="A16">
        <f t="shared" si="0"/>
        <v>8</v>
      </c>
      <c r="B16" t="str">
        <f>IF(ISEVEN(ROW()),INDEX(Matches!$D$2:$D$105,MATCH(A16,Matches!$A$2:$A$105,0)),INDEX(Matches!$E$2:$E$105,MATCH(A16,Matches!$A$2:$A$105,0)))</f>
        <v>Haiti</v>
      </c>
      <c r="C16" s="11">
        <v>1.05</v>
      </c>
    </row>
    <row r="17" spans="1:3">
      <c r="A17">
        <f t="shared" si="0"/>
        <v>8</v>
      </c>
      <c r="B17" t="str">
        <f>IF(ISEVEN(ROW()),INDEX(Matches!$D$2:$D$105,MATCH(A17,Matches!$A$2:$A$105,0)),INDEX(Matches!$E$2:$E$105,MATCH(A17,Matches!$A$2:$A$105,0)))</f>
        <v>Scotland</v>
      </c>
      <c r="C17" s="11">
        <v>1.05</v>
      </c>
    </row>
    <row r="18" spans="1:3">
      <c r="A18">
        <f t="shared" si="0"/>
        <v>9</v>
      </c>
      <c r="B18" t="str">
        <f>IF(ISEVEN(ROW()),INDEX(Matches!$D$2:$D$105,MATCH(A18,Matches!$A$2:$A$105,0)),INDEX(Matches!$E$2:$E$105,MATCH(A18,Matches!$A$2:$A$105,0)))</f>
        <v>Germany</v>
      </c>
      <c r="C18" s="11">
        <v>4.22</v>
      </c>
    </row>
    <row r="19" spans="1:3">
      <c r="A19">
        <f t="shared" si="0"/>
        <v>9</v>
      </c>
      <c r="B19" t="str">
        <f>IF(ISEVEN(ROW()),INDEX(Matches!$D$2:$D$105,MATCH(A19,Matches!$A$2:$A$105,0)),INDEX(Matches!$E$2:$E$105,MATCH(A19,Matches!$A$2:$A$105,0)))</f>
        <v>Curaçao</v>
      </c>
      <c r="C19" s="11">
        <v>0.41</v>
      </c>
    </row>
    <row r="20" spans="1:3">
      <c r="A20">
        <f t="shared" si="0"/>
        <v>10</v>
      </c>
      <c r="B20" t="str">
        <f>IF(ISEVEN(ROW()),INDEX(Matches!$D$2:$D$105,MATCH(A20,Matches!$A$2:$A$105,0)),INDEX(Matches!$E$2:$E$105,MATCH(A20,Matches!$A$2:$A$105,0)))</f>
        <v>Netherlands</v>
      </c>
      <c r="C20" s="11">
        <v>0.78</v>
      </c>
    </row>
    <row r="21" spans="1:3">
      <c r="A21">
        <f t="shared" si="0"/>
        <v>10</v>
      </c>
      <c r="B21" t="str">
        <f>IF(ISEVEN(ROW()),INDEX(Matches!$D$2:$D$105,MATCH(A21,Matches!$A$2:$A$105,0)),INDEX(Matches!$E$2:$E$105,MATCH(A21,Matches!$A$2:$A$105,0)))</f>
        <v>Japan</v>
      </c>
      <c r="C21" s="11">
        <v>0.59</v>
      </c>
    </row>
    <row r="22" spans="1:3">
      <c r="A22">
        <f t="shared" si="0"/>
        <v>11</v>
      </c>
      <c r="B22" t="str">
        <f>IF(ISEVEN(ROW()),INDEX(Matches!$D$2:$D$105,MATCH(A22,Matches!$A$2:$A$105,0)),INDEX(Matches!$E$2:$E$105,MATCH(A22,Matches!$A$2:$A$105,0)))</f>
        <v>Côte d'Ivoire</v>
      </c>
      <c r="C22" s="11">
        <v>1.52</v>
      </c>
    </row>
    <row r="23" spans="1:3">
      <c r="A23">
        <f t="shared" si="0"/>
        <v>11</v>
      </c>
      <c r="B23" t="str">
        <f>IF(ISEVEN(ROW()),INDEX(Matches!$D$2:$D$105,MATCH(A23,Matches!$A$2:$A$105,0)),INDEX(Matches!$E$2:$E$105,MATCH(A23,Matches!$A$2:$A$105,0)))</f>
        <v>Ecuador</v>
      </c>
      <c r="C23" s="11">
        <v>1.01</v>
      </c>
    </row>
    <row r="24" spans="1:3">
      <c r="A24">
        <f t="shared" si="0"/>
        <v>12</v>
      </c>
      <c r="B24" t="str">
        <f>IF(ISEVEN(ROW()),INDEX(Matches!$D$2:$D$105,MATCH(A24,Matches!$A$2:$A$105,0)),INDEX(Matches!$E$2:$E$105,MATCH(A24,Matches!$A$2:$A$105,0)))</f>
        <v>Sweden</v>
      </c>
      <c r="C24" s="11">
        <v>1.33</v>
      </c>
    </row>
    <row r="25" spans="1:3">
      <c r="A25">
        <f t="shared" si="0"/>
        <v>12</v>
      </c>
      <c r="B25" t="str">
        <f>IF(ISEVEN(ROW()),INDEX(Matches!$D$2:$D$105,MATCH(A25,Matches!$A$2:$A$105,0)),INDEX(Matches!$E$2:$E$105,MATCH(A25,Matches!$A$2:$A$105,0)))</f>
        <v>Tunisia</v>
      </c>
      <c r="C25" s="11">
        <v>0.28000000000000003</v>
      </c>
    </row>
    <row r="26" spans="1:3">
      <c r="A26">
        <f t="shared" si="0"/>
        <v>13</v>
      </c>
      <c r="B26" t="str">
        <f>IF(ISEVEN(ROW()),INDEX(Matches!$D$2:$D$105,MATCH(A26,Matches!$A$2:$A$105,0)),INDEX(Matches!$E$2:$E$105,MATCH(A26,Matches!$A$2:$A$105,0)))</f>
        <v>Belgium</v>
      </c>
      <c r="C26" s="11">
        <v>1.35</v>
      </c>
    </row>
    <row r="27" spans="1:3">
      <c r="A27">
        <f t="shared" si="0"/>
        <v>13</v>
      </c>
      <c r="B27" t="str">
        <f>IF(ISEVEN(ROW()),INDEX(Matches!$D$2:$D$105,MATCH(A27,Matches!$A$2:$A$105,0)),INDEX(Matches!$E$2:$E$105,MATCH(A27,Matches!$A$2:$A$105,0)))</f>
        <v>Egypt</v>
      </c>
      <c r="C27" s="11">
        <v>1.08</v>
      </c>
    </row>
    <row r="28" spans="1:3">
      <c r="A28">
        <f t="shared" si="0"/>
        <v>14</v>
      </c>
      <c r="B28" t="str">
        <f>IF(ISEVEN(ROW()),INDEX(Matches!$D$2:$D$105,MATCH(A28,Matches!$A$2:$A$105,0)),INDEX(Matches!$E$2:$E$105,MATCH(A28,Matches!$A$2:$A$105,0)))</f>
        <v>Spain</v>
      </c>
      <c r="C28" s="11">
        <v>2.1</v>
      </c>
    </row>
    <row r="29" spans="1:3">
      <c r="A29">
        <f t="shared" si="0"/>
        <v>14</v>
      </c>
      <c r="B29" t="str">
        <f>IF(ISEVEN(ROW()),INDEX(Matches!$D$2:$D$105,MATCH(A29,Matches!$A$2:$A$105,0)),INDEX(Matches!$E$2:$E$105,MATCH(A29,Matches!$A$2:$A$105,0)))</f>
        <v>Cabo Verde</v>
      </c>
      <c r="C29" s="11">
        <v>0.2</v>
      </c>
    </row>
    <row r="30" spans="1:3">
      <c r="A30">
        <f t="shared" si="0"/>
        <v>15</v>
      </c>
      <c r="B30" t="str">
        <f>IF(ISEVEN(ROW()),INDEX(Matches!$D$2:$D$105,MATCH(A30,Matches!$A$2:$A$105,0)),INDEX(Matches!$E$2:$E$105,MATCH(A30,Matches!$A$2:$A$105,0)))</f>
        <v>Saudi Arabia</v>
      </c>
      <c r="C30" s="11">
        <v>0.66</v>
      </c>
    </row>
    <row r="31" spans="1:3">
      <c r="A31">
        <f t="shared" si="0"/>
        <v>15</v>
      </c>
      <c r="B31" t="str">
        <f>IF(ISEVEN(ROW()),INDEX(Matches!$D$2:$D$105,MATCH(A31,Matches!$A$2:$A$105,0)),INDEX(Matches!$E$2:$E$105,MATCH(A31,Matches!$A$2:$A$105,0)))</f>
        <v>Uruguay</v>
      </c>
      <c r="C31" s="11">
        <v>1.72</v>
      </c>
    </row>
    <row r="32" spans="1:3">
      <c r="A32">
        <f t="shared" si="0"/>
        <v>16</v>
      </c>
      <c r="B32" t="str">
        <f>IF(ISEVEN(ROW()),INDEX(Matches!$D$2:$D$105,MATCH(A32,Matches!$A$2:$A$105,0)),INDEX(Matches!$E$2:$E$105,MATCH(A32,Matches!$A$2:$A$105,0)))</f>
        <v>IR Iran</v>
      </c>
      <c r="C32" s="11">
        <v>1.5</v>
      </c>
    </row>
    <row r="33" spans="1:3">
      <c r="A33">
        <f t="shared" si="0"/>
        <v>16</v>
      </c>
      <c r="B33" t="str">
        <f>IF(ISEVEN(ROW()),INDEX(Matches!$D$2:$D$105,MATCH(A33,Matches!$A$2:$A$105,0)),INDEX(Matches!$E$2:$E$105,MATCH(A33,Matches!$A$2:$A$105,0)))</f>
        <v>New Zealand</v>
      </c>
      <c r="C33" s="11">
        <v>1.24</v>
      </c>
    </row>
    <row r="34" spans="1:3">
      <c r="A34">
        <f t="shared" si="0"/>
        <v>17</v>
      </c>
      <c r="B34" t="str">
        <f>IF(ISEVEN(ROW()),INDEX(Matches!$D$2:$D$105,MATCH(A34,Matches!$A$2:$A$105,0)),INDEX(Matches!$E$2:$E$105,MATCH(A34,Matches!$A$2:$A$105,0)))</f>
        <v>France</v>
      </c>
      <c r="C34" s="11">
        <v>1.79</v>
      </c>
    </row>
    <row r="35" spans="1:3">
      <c r="A35">
        <f t="shared" si="0"/>
        <v>17</v>
      </c>
      <c r="B35" t="str">
        <f>IF(ISEVEN(ROW()),INDEX(Matches!$D$2:$D$105,MATCH(A35,Matches!$A$2:$A$105,0)),INDEX(Matches!$E$2:$E$105,MATCH(A35,Matches!$A$2:$A$105,0)))</f>
        <v>Senegal</v>
      </c>
      <c r="C35" s="11">
        <v>0.53</v>
      </c>
    </row>
    <row r="36" spans="1:3">
      <c r="A36">
        <f t="shared" si="0"/>
        <v>18</v>
      </c>
      <c r="B36" t="str">
        <f>IF(ISEVEN(ROW()),INDEX(Matches!$D$2:$D$105,MATCH(A36,Matches!$A$2:$A$105,0)),INDEX(Matches!$E$2:$E$105,MATCH(A36,Matches!$A$2:$A$105,0)))</f>
        <v>Iraq</v>
      </c>
      <c r="C36" s="11">
        <v>0.8</v>
      </c>
    </row>
    <row r="37" spans="1:3">
      <c r="A37">
        <f t="shared" si="0"/>
        <v>18</v>
      </c>
      <c r="B37" t="str">
        <f>IF(ISEVEN(ROW()),INDEX(Matches!$D$2:$D$105,MATCH(A37,Matches!$A$2:$A$105,0)),INDEX(Matches!$E$2:$E$105,MATCH(A37,Matches!$A$2:$A$105,0)))</f>
        <v>Norway</v>
      </c>
      <c r="C37" s="11">
        <v>2.52</v>
      </c>
    </row>
    <row r="38" spans="1:3">
      <c r="A38">
        <f t="shared" si="0"/>
        <v>19</v>
      </c>
      <c r="B38" t="str">
        <f>IF(ISEVEN(ROW()),INDEX(Matches!$D$2:$D$105,MATCH(A38,Matches!$A$2:$A$105,0)),INDEX(Matches!$E$2:$E$105,MATCH(A38,Matches!$A$2:$A$105,0)))</f>
        <v>Argentina</v>
      </c>
      <c r="C38" s="11">
        <v>1.26</v>
      </c>
    </row>
    <row r="39" spans="1:3">
      <c r="A39">
        <f t="shared" si="0"/>
        <v>19</v>
      </c>
      <c r="B39" t="str">
        <f>IF(ISEVEN(ROW()),INDEX(Matches!$D$2:$D$105,MATCH(A39,Matches!$A$2:$A$105,0)),INDEX(Matches!$E$2:$E$105,MATCH(A39,Matches!$A$2:$A$105,0)))</f>
        <v>Algeria</v>
      </c>
      <c r="C39" s="11">
        <v>0.32</v>
      </c>
    </row>
    <row r="40" spans="1:3">
      <c r="A40">
        <f t="shared" si="0"/>
        <v>20</v>
      </c>
      <c r="B40" t="str">
        <f>IF(ISEVEN(ROW()),INDEX(Matches!$D$2:$D$105,MATCH(A40,Matches!$A$2:$A$105,0)),INDEX(Matches!$E$2:$E$105,MATCH(A40,Matches!$A$2:$A$105,0)))</f>
        <v>Austria</v>
      </c>
      <c r="C40" s="11">
        <v>1.66</v>
      </c>
    </row>
    <row r="41" spans="1:3">
      <c r="A41">
        <f t="shared" si="0"/>
        <v>20</v>
      </c>
      <c r="B41" t="str">
        <f>IF(ISEVEN(ROW()),INDEX(Matches!$D$2:$D$105,MATCH(A41,Matches!$A$2:$A$105,0)),INDEX(Matches!$E$2:$E$105,MATCH(A41,Matches!$A$2:$A$105,0)))</f>
        <v>Jordan</v>
      </c>
      <c r="C41" s="11">
        <v>0.53</v>
      </c>
    </row>
    <row r="42" spans="1:3">
      <c r="A42">
        <f t="shared" si="0"/>
        <v>21</v>
      </c>
      <c r="B42" t="str">
        <f>IF(ISEVEN(ROW()),INDEX(Matches!$D$2:$D$105,MATCH(A42,Matches!$A$2:$A$105,0)),INDEX(Matches!$E$2:$E$105,MATCH(A42,Matches!$A$2:$A$105,0)))</f>
        <v>Portugal</v>
      </c>
      <c r="C42" s="11">
        <v>0.65</v>
      </c>
    </row>
    <row r="43" spans="1:3">
      <c r="A43">
        <f t="shared" si="0"/>
        <v>21</v>
      </c>
      <c r="B43" t="str">
        <f>IF(ISEVEN(ROW()),INDEX(Matches!$D$2:$D$105,MATCH(A43,Matches!$A$2:$A$105,0)),INDEX(Matches!$E$2:$E$105,MATCH(A43,Matches!$A$2:$A$105,0)))</f>
        <v>Congo DR</v>
      </c>
      <c r="C43" s="11">
        <v>0.87</v>
      </c>
    </row>
    <row r="44" spans="1:3">
      <c r="A44">
        <f t="shared" si="0"/>
        <v>22</v>
      </c>
      <c r="B44" t="str">
        <f>IF(ISEVEN(ROW()),INDEX(Matches!$D$2:$D$105,MATCH(A44,Matches!$A$2:$A$105,0)),INDEX(Matches!$E$2:$E$105,MATCH(A44,Matches!$A$2:$A$105,0)))</f>
        <v>England</v>
      </c>
      <c r="C44" s="11">
        <v>3.2</v>
      </c>
    </row>
    <row r="45" spans="1:3">
      <c r="A45">
        <f t="shared" si="0"/>
        <v>22</v>
      </c>
      <c r="B45" t="str">
        <f>IF(ISEVEN(ROW()),INDEX(Matches!$D$2:$D$105,MATCH(A45,Matches!$A$2:$A$105,0)),INDEX(Matches!$E$2:$E$105,MATCH(A45,Matches!$A$2:$A$105,0)))</f>
        <v>Croatia</v>
      </c>
      <c r="C45" s="11">
        <v>0.7</v>
      </c>
    </row>
    <row r="46" spans="1:3">
      <c r="A46">
        <f t="shared" si="0"/>
        <v>23</v>
      </c>
      <c r="B46" t="str">
        <f>IF(ISEVEN(ROW()),INDEX(Matches!$D$2:$D$105,MATCH(A46,Matches!$A$2:$A$105,0)),INDEX(Matches!$E$2:$E$105,MATCH(A46,Matches!$A$2:$A$105,0)))</f>
        <v>Ghana</v>
      </c>
      <c r="C46" s="11">
        <v>1.31</v>
      </c>
    </row>
    <row r="47" spans="1:3">
      <c r="A47">
        <f t="shared" si="0"/>
        <v>23</v>
      </c>
      <c r="B47" t="str">
        <f>IF(ISEVEN(ROW()),INDEX(Matches!$D$2:$D$105,MATCH(A47,Matches!$A$2:$A$105,0)),INDEX(Matches!$E$2:$E$105,MATCH(A47,Matches!$A$2:$A$105,0)))</f>
        <v>Panama</v>
      </c>
      <c r="C47" s="11">
        <v>0.73</v>
      </c>
    </row>
    <row r="48" spans="1:3">
      <c r="A48">
        <f t="shared" si="0"/>
        <v>24</v>
      </c>
      <c r="B48" t="str">
        <f>IF(ISEVEN(ROW()),INDEX(Matches!$D$2:$D$105,MATCH(A48,Matches!$A$2:$A$105,0)),INDEX(Matches!$E$2:$E$105,MATCH(A48,Matches!$A$2:$A$105,0)))</f>
        <v>Uzbekistan</v>
      </c>
      <c r="C48" s="11">
        <v>1.1599999999999999</v>
      </c>
    </row>
    <row r="49" spans="1:3">
      <c r="A49">
        <f t="shared" si="0"/>
        <v>24</v>
      </c>
      <c r="B49" t="str">
        <f>IF(ISEVEN(ROW()),INDEX(Matches!$D$2:$D$105,MATCH(A49,Matches!$A$2:$A$105,0)),INDEX(Matches!$E$2:$E$105,MATCH(A49,Matches!$A$2:$A$105,0)))</f>
        <v>Colombia</v>
      </c>
      <c r="C49" s="11">
        <v>1.61</v>
      </c>
    </row>
    <row r="50" spans="1:3">
      <c r="A50">
        <f t="shared" si="0"/>
        <v>25</v>
      </c>
      <c r="B50" t="str">
        <f>IF(ISEVEN(ROW()),INDEX(Matches!$D$2:$D$105,MATCH(A50,Matches!$A$2:$A$105,0)),INDEX(Matches!$E$2:$E$105,MATCH(A50,Matches!$A$2:$A$105,0)))</f>
        <v>Czechia</v>
      </c>
      <c r="C50" s="11">
        <v>1.02</v>
      </c>
    </row>
    <row r="51" spans="1:3">
      <c r="A51">
        <f t="shared" si="0"/>
        <v>25</v>
      </c>
      <c r="B51" t="str">
        <f>IF(ISEVEN(ROW()),INDEX(Matches!$D$2:$D$105,MATCH(A51,Matches!$A$2:$A$105,0)),INDEX(Matches!$E$2:$E$105,MATCH(A51,Matches!$A$2:$A$105,0)))</f>
        <v>South Africa</v>
      </c>
      <c r="C51" s="11">
        <v>1.38</v>
      </c>
    </row>
    <row r="52" spans="1:3">
      <c r="A52">
        <f t="shared" si="0"/>
        <v>26</v>
      </c>
      <c r="B52" t="str">
        <f>IF(ISEVEN(ROW()),INDEX(Matches!$D$2:$D$105,MATCH(A52,Matches!$A$2:$A$105,0)),INDEX(Matches!$E$2:$E$105,MATCH(A52,Matches!$A$2:$A$105,0)))</f>
        <v>Switzerland</v>
      </c>
      <c r="C52" s="11">
        <v>2.06</v>
      </c>
    </row>
    <row r="53" spans="1:3">
      <c r="A53">
        <f t="shared" si="0"/>
        <v>26</v>
      </c>
      <c r="B53" t="str">
        <f>IF(ISEVEN(ROW()),INDEX(Matches!$D$2:$D$105,MATCH(A53,Matches!$A$2:$A$105,0)),INDEX(Matches!$E$2:$E$105,MATCH(A53,Matches!$A$2:$A$105,0)))</f>
        <v>Bosnia and Herzegovina</v>
      </c>
      <c r="C53" s="11">
        <v>0.23</v>
      </c>
    </row>
    <row r="54" spans="1:3">
      <c r="A54">
        <f t="shared" si="0"/>
        <v>27</v>
      </c>
      <c r="B54" t="str">
        <f>IF(ISEVEN(ROW()),INDEX(Matches!$D$2:$D$105,MATCH(A54,Matches!$A$2:$A$105,0)),INDEX(Matches!$E$2:$E$105,MATCH(A54,Matches!$A$2:$A$105,0)))</f>
        <v>Canada</v>
      </c>
      <c r="C54" s="11">
        <v>4.5999999999999996</v>
      </c>
    </row>
    <row r="55" spans="1:3">
      <c r="A55">
        <f t="shared" si="0"/>
        <v>27</v>
      </c>
      <c r="B55" t="str">
        <f>IF(ISEVEN(ROW()),INDEX(Matches!$D$2:$D$105,MATCH(A55,Matches!$A$2:$A$105,0)),INDEX(Matches!$E$2:$E$105,MATCH(A55,Matches!$A$2:$A$105,0)))</f>
        <v>Qatar</v>
      </c>
      <c r="C55" s="11">
        <v>0.22</v>
      </c>
    </row>
    <row r="56" spans="1:3">
      <c r="A56">
        <f t="shared" si="0"/>
        <v>28</v>
      </c>
      <c r="B56" t="str">
        <f>IF(ISEVEN(ROW()),INDEX(Matches!$D$2:$D$105,MATCH(A56,Matches!$A$2:$A$105,0)),INDEX(Matches!$E$2:$E$105,MATCH(A56,Matches!$A$2:$A$105,0)))</f>
        <v>Mexico</v>
      </c>
      <c r="C56" s="11">
        <v>0.53</v>
      </c>
    </row>
    <row r="57" spans="1:3">
      <c r="A57">
        <f t="shared" si="0"/>
        <v>28</v>
      </c>
      <c r="B57" t="str">
        <f>IF(ISEVEN(ROW()),INDEX(Matches!$D$2:$D$105,MATCH(A57,Matches!$A$2:$A$105,0)),INDEX(Matches!$E$2:$E$105,MATCH(A57,Matches!$A$2:$A$105,0)))</f>
        <v>Korea Republic</v>
      </c>
      <c r="C57" s="11">
        <v>0.91</v>
      </c>
    </row>
    <row r="58" spans="1:3">
      <c r="A58">
        <f t="shared" si="0"/>
        <v>29</v>
      </c>
      <c r="B58" t="str">
        <f>IF(ISEVEN(ROW()),INDEX(Matches!$D$2:$D$105,MATCH(A58,Matches!$A$2:$A$105,0)),INDEX(Matches!$E$2:$E$105,MATCH(A58,Matches!$A$2:$A$105,0)))</f>
        <v>USA</v>
      </c>
      <c r="C58" s="11">
        <v>1.08</v>
      </c>
    </row>
    <row r="59" spans="1:3">
      <c r="A59">
        <f t="shared" si="0"/>
        <v>29</v>
      </c>
      <c r="B59" t="str">
        <f>IF(ISEVEN(ROW()),INDEX(Matches!$D$2:$D$105,MATCH(A59,Matches!$A$2:$A$105,0)),INDEX(Matches!$E$2:$E$105,MATCH(A59,Matches!$A$2:$A$105,0)))</f>
        <v>Australia</v>
      </c>
      <c r="C59" s="11">
        <v>0.35</v>
      </c>
    </row>
    <row r="60" spans="1:3">
      <c r="A60">
        <f t="shared" si="0"/>
        <v>30</v>
      </c>
      <c r="B60" t="str">
        <f>IF(ISEVEN(ROW()),INDEX(Matches!$D$2:$D$105,MATCH(A60,Matches!$A$2:$A$105,0)),INDEX(Matches!$E$2:$E$105,MATCH(A60,Matches!$A$2:$A$105,0)))</f>
        <v>Scotland</v>
      </c>
      <c r="C60" s="11">
        <v>0.51</v>
      </c>
    </row>
    <row r="61" spans="1:3">
      <c r="A61">
        <f t="shared" si="0"/>
        <v>30</v>
      </c>
      <c r="B61" t="str">
        <f>IF(ISEVEN(ROW()),INDEX(Matches!$D$2:$D$105,MATCH(A61,Matches!$A$2:$A$105,0)),INDEX(Matches!$E$2:$E$105,MATCH(A61,Matches!$A$2:$A$105,0)))</f>
        <v>Morocco</v>
      </c>
      <c r="C61" s="11">
        <v>0.99</v>
      </c>
    </row>
    <row r="62" spans="1:3">
      <c r="A62">
        <f t="shared" si="0"/>
        <v>31</v>
      </c>
      <c r="B62" t="str">
        <f>IF(ISEVEN(ROW()),INDEX(Matches!$D$2:$D$105,MATCH(A62,Matches!$A$2:$A$105,0)),INDEX(Matches!$E$2:$E$105,MATCH(A62,Matches!$A$2:$A$105,0)))</f>
        <v>Türkiye</v>
      </c>
      <c r="C62" s="11">
        <v>2.17</v>
      </c>
    </row>
    <row r="63" spans="1:3">
      <c r="A63">
        <f t="shared" si="0"/>
        <v>31</v>
      </c>
      <c r="B63" t="str">
        <f>IF(ISEVEN(ROW()),INDEX(Matches!$D$2:$D$105,MATCH(A63,Matches!$A$2:$A$105,0)),INDEX(Matches!$E$2:$E$105,MATCH(A63,Matches!$A$2:$A$105,0)))</f>
        <v>Paraguay</v>
      </c>
      <c r="C63" s="11">
        <v>0.32</v>
      </c>
    </row>
    <row r="64" spans="1:3">
      <c r="A64">
        <f t="shared" si="0"/>
        <v>32</v>
      </c>
      <c r="B64" t="str">
        <f>IF(ISEVEN(ROW()),INDEX(Matches!$D$2:$D$105,MATCH(A64,Matches!$A$2:$A$105,0)),INDEX(Matches!$E$2:$E$105,MATCH(A64,Matches!$A$2:$A$105,0)))</f>
        <v>Brazil</v>
      </c>
      <c r="C64" s="11">
        <v>1.75</v>
      </c>
    </row>
    <row r="65" spans="1:3">
      <c r="A65">
        <f t="shared" si="0"/>
        <v>32</v>
      </c>
      <c r="B65" t="str">
        <f>IF(ISEVEN(ROW()),INDEX(Matches!$D$2:$D$105,MATCH(A65,Matches!$A$2:$A$105,0)),INDEX(Matches!$E$2:$E$105,MATCH(A65,Matches!$A$2:$A$105,0)))</f>
        <v>Haiti</v>
      </c>
      <c r="C65" s="11">
        <v>0.23</v>
      </c>
    </row>
    <row r="66" spans="1:3">
      <c r="A66">
        <f t="shared" si="0"/>
        <v>33</v>
      </c>
      <c r="B66" t="str">
        <f>IF(ISEVEN(ROW()),INDEX(Matches!$D$2:$D$105,MATCH(A66,Matches!$A$2:$A$105,0)),INDEX(Matches!$E$2:$E$105,MATCH(A66,Matches!$A$2:$A$105,0)))</f>
        <v>Netherlands</v>
      </c>
      <c r="C66" s="11">
        <v>2.61</v>
      </c>
    </row>
    <row r="67" spans="1:3">
      <c r="A67">
        <f t="shared" ref="A67:A130" si="1">INT((ROW()-2)/2)+1</f>
        <v>33</v>
      </c>
      <c r="B67" t="str">
        <f>IF(ISEVEN(ROW()),INDEX(Matches!$D$2:$D$105,MATCH(A67,Matches!$A$2:$A$105,0)),INDEX(Matches!$E$2:$E$105,MATCH(A67,Matches!$A$2:$A$105,0)))</f>
        <v>Sweden</v>
      </c>
      <c r="C67" s="11">
        <v>1.01</v>
      </c>
    </row>
    <row r="68" spans="1:3">
      <c r="A68">
        <f t="shared" si="1"/>
        <v>34</v>
      </c>
      <c r="B68" t="str">
        <f>IF(ISEVEN(ROW()),INDEX(Matches!$D$2:$D$105,MATCH(A68,Matches!$A$2:$A$105,0)),INDEX(Matches!$E$2:$E$105,MATCH(A68,Matches!$A$2:$A$105,0)))</f>
        <v>Germany</v>
      </c>
      <c r="C68" s="11">
        <v>1.89</v>
      </c>
    </row>
    <row r="69" spans="1:3">
      <c r="A69">
        <f t="shared" si="1"/>
        <v>34</v>
      </c>
      <c r="B69" t="str">
        <f>IF(ISEVEN(ROW()),INDEX(Matches!$D$2:$D$105,MATCH(A69,Matches!$A$2:$A$105,0)),INDEX(Matches!$E$2:$E$105,MATCH(A69,Matches!$A$2:$A$105,0)))</f>
        <v>Côte d'Ivoire</v>
      </c>
      <c r="C69" s="11">
        <v>1.22</v>
      </c>
    </row>
    <row r="70" spans="1:3">
      <c r="A70">
        <f t="shared" si="1"/>
        <v>35</v>
      </c>
      <c r="B70" t="str">
        <f>IF(ISEVEN(ROW()),INDEX(Matches!$D$2:$D$105,MATCH(A70,Matches!$A$2:$A$105,0)),INDEX(Matches!$E$2:$E$105,MATCH(A70,Matches!$A$2:$A$105,0)))</f>
        <v>Ecuador</v>
      </c>
      <c r="C70" s="11">
        <v>2.84</v>
      </c>
    </row>
    <row r="71" spans="1:3">
      <c r="A71">
        <f t="shared" si="1"/>
        <v>35</v>
      </c>
      <c r="B71" t="str">
        <f>IF(ISEVEN(ROW()),INDEX(Matches!$D$2:$D$105,MATCH(A71,Matches!$A$2:$A$105,0)),INDEX(Matches!$E$2:$E$105,MATCH(A71,Matches!$A$2:$A$105,0)))</f>
        <v>Curaçao</v>
      </c>
      <c r="C71" s="11">
        <v>0.5</v>
      </c>
    </row>
    <row r="72" spans="1:3">
      <c r="A72">
        <f t="shared" si="1"/>
        <v>36</v>
      </c>
      <c r="B72" t="str">
        <f>IF(ISEVEN(ROW()),INDEX(Matches!$D$2:$D$105,MATCH(A72,Matches!$A$2:$A$105,0)),INDEX(Matches!$E$2:$E$105,MATCH(A72,Matches!$A$2:$A$105,0)))</f>
        <v>Tunisia</v>
      </c>
      <c r="C72" s="11">
        <v>0.05</v>
      </c>
    </row>
    <row r="73" spans="1:3">
      <c r="A73">
        <f t="shared" si="1"/>
        <v>36</v>
      </c>
      <c r="B73" t="str">
        <f>IF(ISEVEN(ROW()),INDEX(Matches!$D$2:$D$105,MATCH(A73,Matches!$A$2:$A$105,0)),INDEX(Matches!$E$2:$E$105,MATCH(A73,Matches!$A$2:$A$105,0)))</f>
        <v>Japan</v>
      </c>
      <c r="C73" s="11">
        <v>2.13</v>
      </c>
    </row>
    <row r="74" spans="1:3">
      <c r="A74">
        <f t="shared" si="1"/>
        <v>37</v>
      </c>
      <c r="B74" t="str">
        <f>IF(ISEVEN(ROW()),INDEX(Matches!$D$2:$D$105,MATCH(A74,Matches!$A$2:$A$105,0)),INDEX(Matches!$E$2:$E$105,MATCH(A74,Matches!$A$2:$A$105,0)))</f>
        <v>Spain</v>
      </c>
      <c r="C74" s="11">
        <v>2.2999999999999998</v>
      </c>
    </row>
    <row r="75" spans="1:3">
      <c r="A75">
        <f t="shared" si="1"/>
        <v>37</v>
      </c>
      <c r="B75" t="str">
        <f>IF(ISEVEN(ROW()),INDEX(Matches!$D$2:$D$105,MATCH(A75,Matches!$A$2:$A$105,0)),INDEX(Matches!$E$2:$E$105,MATCH(A75,Matches!$A$2:$A$105,0)))</f>
        <v>Saudi Arabia</v>
      </c>
      <c r="C75" s="11">
        <v>0.14000000000000001</v>
      </c>
    </row>
    <row r="76" spans="1:3">
      <c r="A76">
        <f t="shared" si="1"/>
        <v>38</v>
      </c>
      <c r="B76" t="str">
        <f>IF(ISEVEN(ROW()),INDEX(Matches!$D$2:$D$105,MATCH(A76,Matches!$A$2:$A$105,0)),INDEX(Matches!$E$2:$E$105,MATCH(A76,Matches!$A$2:$A$105,0)))</f>
        <v>Belgium</v>
      </c>
      <c r="C76" s="11">
        <v>1.79</v>
      </c>
    </row>
    <row r="77" spans="1:3">
      <c r="A77">
        <f t="shared" si="1"/>
        <v>38</v>
      </c>
      <c r="B77" t="str">
        <f>IF(ISEVEN(ROW()),INDEX(Matches!$D$2:$D$105,MATCH(A77,Matches!$A$2:$A$105,0)),INDEX(Matches!$E$2:$E$105,MATCH(A77,Matches!$A$2:$A$105,0)))</f>
        <v>IR Iran</v>
      </c>
      <c r="C77" s="11">
        <v>0.62</v>
      </c>
    </row>
    <row r="78" spans="1:3">
      <c r="A78">
        <f t="shared" si="1"/>
        <v>39</v>
      </c>
      <c r="B78" t="str">
        <f>IF(ISEVEN(ROW()),INDEX(Matches!$D$2:$D$105,MATCH(A78,Matches!$A$2:$A$105,0)),INDEX(Matches!$E$2:$E$105,MATCH(A78,Matches!$A$2:$A$105,0)))</f>
        <v>Uruguay</v>
      </c>
      <c r="C78" s="11">
        <v>2.3199999999999998</v>
      </c>
    </row>
    <row r="79" spans="1:3">
      <c r="A79">
        <f t="shared" si="1"/>
        <v>39</v>
      </c>
      <c r="B79" t="str">
        <f>IF(ISEVEN(ROW()),INDEX(Matches!$D$2:$D$105,MATCH(A79,Matches!$A$2:$A$105,0)),INDEX(Matches!$E$2:$E$105,MATCH(A79,Matches!$A$2:$A$105,0)))</f>
        <v>Cabo Verde</v>
      </c>
      <c r="C79" s="11">
        <v>0.88</v>
      </c>
    </row>
    <row r="80" spans="1:3">
      <c r="A80">
        <f t="shared" si="1"/>
        <v>40</v>
      </c>
      <c r="B80" t="str">
        <f>IF(ISEVEN(ROW()),INDEX(Matches!$D$2:$D$105,MATCH(A80,Matches!$A$2:$A$105,0)),INDEX(Matches!$E$2:$E$105,MATCH(A80,Matches!$A$2:$A$105,0)))</f>
        <v>New Zealand</v>
      </c>
      <c r="C80" s="11">
        <v>1.24</v>
      </c>
    </row>
    <row r="81" spans="1:3">
      <c r="A81">
        <f t="shared" si="1"/>
        <v>40</v>
      </c>
      <c r="B81" t="str">
        <f>IF(ISEVEN(ROW()),INDEX(Matches!$D$2:$D$105,MATCH(A81,Matches!$A$2:$A$105,0)),INDEX(Matches!$E$2:$E$105,MATCH(A81,Matches!$A$2:$A$105,0)))</f>
        <v>Egypt</v>
      </c>
      <c r="C81" s="11">
        <v>1.87</v>
      </c>
    </row>
    <row r="82" spans="1:3">
      <c r="A82">
        <f t="shared" si="1"/>
        <v>41</v>
      </c>
      <c r="B82" t="str">
        <f>IF(ISEVEN(ROW()),INDEX(Matches!$D$2:$D$105,MATCH(A82,Matches!$A$2:$A$105,0)),INDEX(Matches!$E$2:$E$105,MATCH(A82,Matches!$A$2:$A$105,0)))</f>
        <v>Argentina</v>
      </c>
      <c r="C82" s="11">
        <v>2.36</v>
      </c>
    </row>
    <row r="83" spans="1:3">
      <c r="A83">
        <f t="shared" si="1"/>
        <v>41</v>
      </c>
      <c r="B83" t="str">
        <f>IF(ISEVEN(ROW()),INDEX(Matches!$D$2:$D$105,MATCH(A83,Matches!$A$2:$A$105,0)),INDEX(Matches!$E$2:$E$105,MATCH(A83,Matches!$A$2:$A$105,0)))</f>
        <v>Austria</v>
      </c>
      <c r="C83" s="11">
        <v>0.53</v>
      </c>
    </row>
    <row r="84" spans="1:3">
      <c r="A84">
        <f t="shared" si="1"/>
        <v>42</v>
      </c>
      <c r="B84" t="str">
        <f>IF(ISEVEN(ROW()),INDEX(Matches!$D$2:$D$105,MATCH(A84,Matches!$A$2:$A$105,0)),INDEX(Matches!$E$2:$E$105,MATCH(A84,Matches!$A$2:$A$105,0)))</f>
        <v>France</v>
      </c>
      <c r="C84" s="11">
        <v>2.67</v>
      </c>
    </row>
    <row r="85" spans="1:3">
      <c r="A85">
        <f t="shared" si="1"/>
        <v>42</v>
      </c>
      <c r="B85" t="str">
        <f>IF(ISEVEN(ROW()),INDEX(Matches!$D$2:$D$105,MATCH(A85,Matches!$A$2:$A$105,0)),INDEX(Matches!$E$2:$E$105,MATCH(A85,Matches!$A$2:$A$105,0)))</f>
        <v>Iraq</v>
      </c>
      <c r="C85" s="11">
        <v>0.63</v>
      </c>
    </row>
    <row r="86" spans="1:3">
      <c r="A86">
        <f t="shared" si="1"/>
        <v>43</v>
      </c>
      <c r="B86" t="str">
        <f>IF(ISEVEN(ROW()),INDEX(Matches!$D$2:$D$105,MATCH(A86,Matches!$A$2:$A$105,0)),INDEX(Matches!$E$2:$E$105,MATCH(A86,Matches!$A$2:$A$105,0)))</f>
        <v>Norway</v>
      </c>
      <c r="C86" s="11">
        <v>2.2000000000000002</v>
      </c>
    </row>
    <row r="87" spans="1:3">
      <c r="A87">
        <f t="shared" si="1"/>
        <v>43</v>
      </c>
      <c r="B87" t="str">
        <f>IF(ISEVEN(ROW()),INDEX(Matches!$D$2:$D$105,MATCH(A87,Matches!$A$2:$A$105,0)),INDEX(Matches!$E$2:$E$105,MATCH(A87,Matches!$A$2:$A$105,0)))</f>
        <v>Senegal</v>
      </c>
      <c r="C87" s="11">
        <v>1.72</v>
      </c>
    </row>
    <row r="88" spans="1:3">
      <c r="A88">
        <f t="shared" si="1"/>
        <v>44</v>
      </c>
      <c r="B88" t="str">
        <f>IF(ISEVEN(ROW()),INDEX(Matches!$D$2:$D$105,MATCH(A88,Matches!$A$2:$A$105,0)),INDEX(Matches!$E$2:$E$105,MATCH(A88,Matches!$A$2:$A$105,0)))</f>
        <v>Jordan</v>
      </c>
      <c r="C88" s="11">
        <v>0.63</v>
      </c>
    </row>
    <row r="89" spans="1:3">
      <c r="A89">
        <f t="shared" si="1"/>
        <v>44</v>
      </c>
      <c r="B89" t="str">
        <f>IF(ISEVEN(ROW()),INDEX(Matches!$D$2:$D$105,MATCH(A89,Matches!$A$2:$A$105,0)),INDEX(Matches!$E$2:$E$105,MATCH(A89,Matches!$A$2:$A$105,0)))</f>
        <v>Algeria</v>
      </c>
      <c r="C89" s="11">
        <v>1.89</v>
      </c>
    </row>
    <row r="90" spans="1:3">
      <c r="A90">
        <f t="shared" si="1"/>
        <v>45</v>
      </c>
      <c r="B90" t="str">
        <f>IF(ISEVEN(ROW()),INDEX(Matches!$D$2:$D$105,MATCH(A90,Matches!$A$2:$A$105,0)),INDEX(Matches!$E$2:$E$105,MATCH(A90,Matches!$A$2:$A$105,0)))</f>
        <v>Portugal</v>
      </c>
      <c r="C90" s="11">
        <v>2.61</v>
      </c>
    </row>
    <row r="91" spans="1:3">
      <c r="A91">
        <f t="shared" si="1"/>
        <v>45</v>
      </c>
      <c r="B91" t="str">
        <f>IF(ISEVEN(ROW()),INDEX(Matches!$D$2:$D$105,MATCH(A91,Matches!$A$2:$A$105,0)),INDEX(Matches!$E$2:$E$105,MATCH(A91,Matches!$A$2:$A$105,0)))</f>
        <v>Uzbekistan</v>
      </c>
      <c r="C91" s="11">
        <v>0.24</v>
      </c>
    </row>
    <row r="92" spans="1:3">
      <c r="A92">
        <f t="shared" si="1"/>
        <v>46</v>
      </c>
      <c r="B92" t="str">
        <f>IF(ISEVEN(ROW()),INDEX(Matches!$D$2:$D$105,MATCH(A92,Matches!$A$2:$A$105,0)),INDEX(Matches!$E$2:$E$105,MATCH(A92,Matches!$A$2:$A$105,0)))</f>
        <v>England</v>
      </c>
      <c r="C92" s="11">
        <v>1.36</v>
      </c>
    </row>
    <row r="93" spans="1:3">
      <c r="A93">
        <f t="shared" si="1"/>
        <v>46</v>
      </c>
      <c r="B93" t="str">
        <f>IF(ISEVEN(ROW()),INDEX(Matches!$D$2:$D$105,MATCH(A93,Matches!$A$2:$A$105,0)),INDEX(Matches!$E$2:$E$105,MATCH(A93,Matches!$A$2:$A$105,0)))</f>
        <v>Ghana</v>
      </c>
      <c r="C93" s="11">
        <v>0.17</v>
      </c>
    </row>
    <row r="94" spans="1:3">
      <c r="A94">
        <f t="shared" si="1"/>
        <v>47</v>
      </c>
      <c r="B94" t="str">
        <f>IF(ISEVEN(ROW()),INDEX(Matches!$D$2:$D$105,MATCH(A94,Matches!$A$2:$A$105,0)),INDEX(Matches!$E$2:$E$105,MATCH(A94,Matches!$A$2:$A$105,0)))</f>
        <v>Panama</v>
      </c>
      <c r="C94" s="11">
        <v>0.55000000000000004</v>
      </c>
    </row>
    <row r="95" spans="1:3">
      <c r="A95">
        <f t="shared" si="1"/>
        <v>47</v>
      </c>
      <c r="B95" t="str">
        <f>IF(ISEVEN(ROW()),INDEX(Matches!$D$2:$D$105,MATCH(A95,Matches!$A$2:$A$105,0)),INDEX(Matches!$E$2:$E$105,MATCH(A95,Matches!$A$2:$A$105,0)))</f>
        <v>Croatia</v>
      </c>
      <c r="C95" s="11">
        <v>1.65</v>
      </c>
    </row>
    <row r="96" spans="1:3">
      <c r="A96">
        <f t="shared" si="1"/>
        <v>48</v>
      </c>
      <c r="B96" t="str">
        <f>IF(ISEVEN(ROW()),INDEX(Matches!$D$2:$D$105,MATCH(A96,Matches!$A$2:$A$105,0)),INDEX(Matches!$E$2:$E$105,MATCH(A96,Matches!$A$2:$A$105,0)))</f>
        <v>Colombia</v>
      </c>
      <c r="C96" s="11">
        <v>0.98</v>
      </c>
    </row>
    <row r="97" spans="1:3">
      <c r="A97">
        <f t="shared" si="1"/>
        <v>48</v>
      </c>
      <c r="B97" t="str">
        <f>IF(ISEVEN(ROW()),INDEX(Matches!$D$2:$D$105,MATCH(A97,Matches!$A$2:$A$105,0)),INDEX(Matches!$E$2:$E$105,MATCH(A97,Matches!$A$2:$A$105,0)))</f>
        <v>Congo DR</v>
      </c>
      <c r="C97" s="11">
        <v>0.37</v>
      </c>
    </row>
    <row r="98" spans="1:3">
      <c r="A98">
        <f t="shared" si="1"/>
        <v>49</v>
      </c>
      <c r="B98" t="str">
        <f>IF(ISEVEN(ROW()),INDEX(Matches!$D$2:$D$105,MATCH(A98,Matches!$A$2:$A$105,0)),INDEX(Matches!$E$2:$E$105,MATCH(A98,Matches!$A$2:$A$105,0)))</f>
        <v>Switzerland</v>
      </c>
      <c r="C98" s="11">
        <v>1.1100000000000001</v>
      </c>
    </row>
    <row r="99" spans="1:3">
      <c r="A99">
        <f t="shared" si="1"/>
        <v>49</v>
      </c>
      <c r="B99" t="str">
        <f>IF(ISEVEN(ROW()),INDEX(Matches!$D$2:$D$105,MATCH(A99,Matches!$A$2:$A$105,0)),INDEX(Matches!$E$2:$E$105,MATCH(A99,Matches!$A$2:$A$105,0)))</f>
        <v>Canada</v>
      </c>
      <c r="C99" s="11">
        <v>1.66</v>
      </c>
    </row>
    <row r="100" spans="1:3">
      <c r="A100">
        <f t="shared" si="1"/>
        <v>50</v>
      </c>
      <c r="B100" t="str">
        <f>IF(ISEVEN(ROW()),INDEX(Matches!$D$2:$D$105,MATCH(A100,Matches!$A$2:$A$105,0)),INDEX(Matches!$E$2:$E$105,MATCH(A100,Matches!$A$2:$A$105,0)))</f>
        <v>Bosnia and Herzegovina</v>
      </c>
      <c r="C100" s="11">
        <v>0.68</v>
      </c>
    </row>
    <row r="101" spans="1:3">
      <c r="A101">
        <f t="shared" si="1"/>
        <v>50</v>
      </c>
      <c r="B101" t="str">
        <f>IF(ISEVEN(ROW()),INDEX(Matches!$D$2:$D$105,MATCH(A101,Matches!$A$2:$A$105,0)),INDEX(Matches!$E$2:$E$105,MATCH(A101,Matches!$A$2:$A$105,0)))</f>
        <v>Qatar</v>
      </c>
      <c r="C101" s="11">
        <v>0.77</v>
      </c>
    </row>
    <row r="102" spans="1:3">
      <c r="A102">
        <f t="shared" si="1"/>
        <v>51</v>
      </c>
      <c r="B102" t="str">
        <f>IF(ISEVEN(ROW()),INDEX(Matches!$D$2:$D$105,MATCH(A102,Matches!$A$2:$A$105,0)),INDEX(Matches!$E$2:$E$105,MATCH(A102,Matches!$A$2:$A$105,0)))</f>
        <v>Scotland</v>
      </c>
      <c r="C102" s="11">
        <v>1.04</v>
      </c>
    </row>
    <row r="103" spans="1:3">
      <c r="A103">
        <f t="shared" si="1"/>
        <v>51</v>
      </c>
      <c r="B103" t="str">
        <f>IF(ISEVEN(ROW()),INDEX(Matches!$D$2:$D$105,MATCH(A103,Matches!$A$2:$A$105,0)),INDEX(Matches!$E$2:$E$105,MATCH(A103,Matches!$A$2:$A$105,0)))</f>
        <v>Brazil</v>
      </c>
      <c r="C103" s="11">
        <v>4.33</v>
      </c>
    </row>
    <row r="104" spans="1:3">
      <c r="A104">
        <f t="shared" si="1"/>
        <v>52</v>
      </c>
      <c r="B104" t="str">
        <f>IF(ISEVEN(ROW()),INDEX(Matches!$D$2:$D$105,MATCH(A104,Matches!$A$2:$A$105,0)),INDEX(Matches!$E$2:$E$105,MATCH(A104,Matches!$A$2:$A$105,0)))</f>
        <v>Morocco</v>
      </c>
      <c r="C104" s="11">
        <v>3.76</v>
      </c>
    </row>
    <row r="105" spans="1:3">
      <c r="A105">
        <f t="shared" si="1"/>
        <v>52</v>
      </c>
      <c r="B105" t="str">
        <f>IF(ISEVEN(ROW()),INDEX(Matches!$D$2:$D$105,MATCH(A105,Matches!$A$2:$A$105,0)),INDEX(Matches!$E$2:$E$105,MATCH(A105,Matches!$A$2:$A$105,0)))</f>
        <v>Haiti</v>
      </c>
      <c r="C105" s="11">
        <v>0.67</v>
      </c>
    </row>
    <row r="106" spans="1:3">
      <c r="A106">
        <f t="shared" si="1"/>
        <v>53</v>
      </c>
      <c r="B106" t="str">
        <f>IF(ISEVEN(ROW()),INDEX(Matches!$D$2:$D$105,MATCH(A106,Matches!$A$2:$A$105,0)),INDEX(Matches!$E$2:$E$105,MATCH(A106,Matches!$A$2:$A$105,0)))</f>
        <v>South Africa</v>
      </c>
      <c r="C106" s="11">
        <v>1.1599999999999999</v>
      </c>
    </row>
    <row r="107" spans="1:3">
      <c r="A107">
        <f t="shared" si="1"/>
        <v>53</v>
      </c>
      <c r="B107" t="str">
        <f>IF(ISEVEN(ROW()),INDEX(Matches!$D$2:$D$105,MATCH(A107,Matches!$A$2:$A$105,0)),INDEX(Matches!$E$2:$E$105,MATCH(A107,Matches!$A$2:$A$105,0)))</f>
        <v>Korea Republic</v>
      </c>
      <c r="C107" s="11">
        <v>0.9</v>
      </c>
    </row>
    <row r="108" spans="1:3">
      <c r="A108">
        <f t="shared" si="1"/>
        <v>54</v>
      </c>
      <c r="B108" t="str">
        <f>IF(ISEVEN(ROW()),INDEX(Matches!$D$2:$D$105,MATCH(A108,Matches!$A$2:$A$105,0)),INDEX(Matches!$E$2:$E$105,MATCH(A108,Matches!$A$2:$A$105,0)))</f>
        <v>Czechia</v>
      </c>
    </row>
    <row r="109" spans="1:3">
      <c r="A109">
        <f t="shared" si="1"/>
        <v>54</v>
      </c>
      <c r="B109" t="str">
        <f>IF(ISEVEN(ROW()),INDEX(Matches!$D$2:$D$105,MATCH(A109,Matches!$A$2:$A$105,0)),INDEX(Matches!$E$2:$E$105,MATCH(A109,Matches!$A$2:$A$105,0)))</f>
        <v>Mexico</v>
      </c>
    </row>
    <row r="110" spans="1:3">
      <c r="A110">
        <f t="shared" si="1"/>
        <v>55</v>
      </c>
      <c r="B110" t="str">
        <f>IF(ISEVEN(ROW()),INDEX(Matches!$D$2:$D$105,MATCH(A110,Matches!$A$2:$A$105,0)),INDEX(Matches!$E$2:$E$105,MATCH(A110,Matches!$A$2:$A$105,0)))</f>
        <v>Curaçao</v>
      </c>
      <c r="C110" s="11">
        <v>0.5</v>
      </c>
    </row>
    <row r="111" spans="1:3">
      <c r="A111">
        <f t="shared" si="1"/>
        <v>55</v>
      </c>
      <c r="B111" t="str">
        <f>IF(ISEVEN(ROW()),INDEX(Matches!$D$2:$D$105,MATCH(A111,Matches!$A$2:$A$105,0)),INDEX(Matches!$E$2:$E$105,MATCH(A111,Matches!$A$2:$A$105,0)))</f>
        <v>Côte d'Ivoire</v>
      </c>
      <c r="C111" s="11">
        <v>1.31</v>
      </c>
    </row>
    <row r="112" spans="1:3">
      <c r="A112">
        <f t="shared" si="1"/>
        <v>56</v>
      </c>
      <c r="B112" t="str">
        <f>IF(ISEVEN(ROW()),INDEX(Matches!$D$2:$D$105,MATCH(A112,Matches!$A$2:$A$105,0)),INDEX(Matches!$E$2:$E$105,MATCH(A112,Matches!$A$2:$A$105,0)))</f>
        <v>Ecuador</v>
      </c>
      <c r="C112" s="11">
        <v>1.27</v>
      </c>
    </row>
    <row r="113" spans="1:3">
      <c r="A113">
        <f t="shared" si="1"/>
        <v>56</v>
      </c>
      <c r="B113" t="str">
        <f>IF(ISEVEN(ROW()),INDEX(Matches!$D$2:$D$105,MATCH(A113,Matches!$A$2:$A$105,0)),INDEX(Matches!$E$2:$E$105,MATCH(A113,Matches!$A$2:$A$105,0)))</f>
        <v>Germany</v>
      </c>
      <c r="C113" s="11">
        <v>0.65</v>
      </c>
    </row>
    <row r="114" spans="1:3">
      <c r="A114">
        <f t="shared" si="1"/>
        <v>57</v>
      </c>
      <c r="B114" t="str">
        <f>IF(ISEVEN(ROW()),INDEX(Matches!$D$2:$D$105,MATCH(A114,Matches!$A$2:$A$105,0)),INDEX(Matches!$E$2:$E$105,MATCH(A114,Matches!$A$2:$A$105,0)))</f>
        <v>Tunisia</v>
      </c>
      <c r="C114" s="11">
        <v>0.62</v>
      </c>
    </row>
    <row r="115" spans="1:3">
      <c r="A115">
        <f t="shared" si="1"/>
        <v>57</v>
      </c>
      <c r="B115" t="str">
        <f>IF(ISEVEN(ROW()),INDEX(Matches!$D$2:$D$105,MATCH(A115,Matches!$A$2:$A$105,0)),INDEX(Matches!$E$2:$E$105,MATCH(A115,Matches!$A$2:$A$105,0)))</f>
        <v>Netherlands</v>
      </c>
      <c r="C115" s="11">
        <v>1.85</v>
      </c>
    </row>
    <row r="116" spans="1:3">
      <c r="A116">
        <f t="shared" si="1"/>
        <v>58</v>
      </c>
      <c r="B116" t="str">
        <f>IF(ISEVEN(ROW()),INDEX(Matches!$D$2:$D$105,MATCH(A116,Matches!$A$2:$A$105,0)),INDEX(Matches!$E$2:$E$105,MATCH(A116,Matches!$A$2:$A$105,0)))</f>
        <v>Japan</v>
      </c>
    </row>
    <row r="117" spans="1:3">
      <c r="A117">
        <f t="shared" si="1"/>
        <v>58</v>
      </c>
      <c r="B117" t="str">
        <f>IF(ISEVEN(ROW()),INDEX(Matches!$D$2:$D$105,MATCH(A117,Matches!$A$2:$A$105,0)),INDEX(Matches!$E$2:$E$105,MATCH(A117,Matches!$A$2:$A$105,0)))</f>
        <v>Sweden</v>
      </c>
    </row>
    <row r="118" spans="1:3">
      <c r="A118">
        <f t="shared" si="1"/>
        <v>59</v>
      </c>
      <c r="B118" t="str">
        <f>IF(ISEVEN(ROW()),INDEX(Matches!$D$2:$D$105,MATCH(A118,Matches!$A$2:$A$105,0)),INDEX(Matches!$E$2:$E$105,MATCH(A118,Matches!$A$2:$A$105,0)))</f>
        <v>Türkiye</v>
      </c>
      <c r="C118" s="11">
        <v>3.01</v>
      </c>
    </row>
    <row r="119" spans="1:3">
      <c r="A119">
        <f t="shared" si="1"/>
        <v>59</v>
      </c>
      <c r="B119" t="str">
        <f>IF(ISEVEN(ROW()),INDEX(Matches!$D$2:$D$105,MATCH(A119,Matches!$A$2:$A$105,0)),INDEX(Matches!$E$2:$E$105,MATCH(A119,Matches!$A$2:$A$105,0)))</f>
        <v>USA</v>
      </c>
      <c r="C119" s="11">
        <v>2.13</v>
      </c>
    </row>
    <row r="120" spans="1:3">
      <c r="A120">
        <f t="shared" si="1"/>
        <v>60</v>
      </c>
      <c r="B120" t="str">
        <f>IF(ISEVEN(ROW()),INDEX(Matches!$D$2:$D$105,MATCH(A120,Matches!$A$2:$A$105,0)),INDEX(Matches!$E$2:$E$105,MATCH(A120,Matches!$A$2:$A$105,0)))</f>
        <v>Paraguay</v>
      </c>
      <c r="C120" s="11">
        <v>0.24</v>
      </c>
    </row>
    <row r="121" spans="1:3">
      <c r="A121">
        <f t="shared" si="1"/>
        <v>60</v>
      </c>
      <c r="B121" t="str">
        <f>IF(ISEVEN(ROW()),INDEX(Matches!$D$2:$D$105,MATCH(A121,Matches!$A$2:$A$105,0)),INDEX(Matches!$E$2:$E$105,MATCH(A121,Matches!$A$2:$A$105,0)))</f>
        <v>Australia</v>
      </c>
      <c r="C121" s="11">
        <v>0.55000000000000004</v>
      </c>
    </row>
    <row r="122" spans="1:3">
      <c r="A122">
        <f t="shared" si="1"/>
        <v>61</v>
      </c>
      <c r="B122" t="str">
        <f>IF(ISEVEN(ROW()),INDEX(Matches!$D$2:$D$105,MATCH(A122,Matches!$A$2:$A$105,0)),INDEX(Matches!$E$2:$E$105,MATCH(A122,Matches!$A$2:$A$105,0)))</f>
        <v>Norway</v>
      </c>
      <c r="C122" s="11">
        <v>1.7</v>
      </c>
    </row>
    <row r="123" spans="1:3">
      <c r="A123">
        <f t="shared" si="1"/>
        <v>61</v>
      </c>
      <c r="B123" t="str">
        <f>IF(ISEVEN(ROW()),INDEX(Matches!$D$2:$D$105,MATCH(A123,Matches!$A$2:$A$105,0)),INDEX(Matches!$E$2:$E$105,MATCH(A123,Matches!$A$2:$A$105,0)))</f>
        <v>France</v>
      </c>
      <c r="C123" s="11">
        <v>1.5</v>
      </c>
    </row>
    <row r="124" spans="1:3">
      <c r="A124">
        <f t="shared" si="1"/>
        <v>62</v>
      </c>
      <c r="B124" t="str">
        <f>IF(ISEVEN(ROW()),INDEX(Matches!$D$2:$D$105,MATCH(A124,Matches!$A$2:$A$105,0)),INDEX(Matches!$E$2:$E$105,MATCH(A124,Matches!$A$2:$A$105,0)))</f>
        <v>Senegal</v>
      </c>
      <c r="C124" s="11">
        <v>3.01</v>
      </c>
    </row>
    <row r="125" spans="1:3">
      <c r="A125">
        <f t="shared" si="1"/>
        <v>62</v>
      </c>
      <c r="B125" t="str">
        <f>IF(ISEVEN(ROW()),INDEX(Matches!$D$2:$D$105,MATCH(A125,Matches!$A$2:$A$105,0)),INDEX(Matches!$E$2:$E$105,MATCH(A125,Matches!$A$2:$A$105,0)))</f>
        <v>Iraq</v>
      </c>
      <c r="C125" s="11">
        <v>1.04</v>
      </c>
    </row>
    <row r="126" spans="1:3">
      <c r="A126">
        <f t="shared" si="1"/>
        <v>63</v>
      </c>
      <c r="B126" t="str">
        <f>IF(ISEVEN(ROW()),INDEX(Matches!$D$2:$D$105,MATCH(A126,Matches!$A$2:$A$105,0)),INDEX(Matches!$E$2:$E$105,MATCH(A126,Matches!$A$2:$A$105,0)))</f>
        <v>Uruguay</v>
      </c>
      <c r="C126" s="11">
        <v>0.2</v>
      </c>
    </row>
    <row r="127" spans="1:3">
      <c r="A127">
        <f t="shared" si="1"/>
        <v>63</v>
      </c>
      <c r="B127" t="str">
        <f>IF(ISEVEN(ROW()),INDEX(Matches!$D$2:$D$105,MATCH(A127,Matches!$A$2:$A$105,0)),INDEX(Matches!$E$2:$E$105,MATCH(A127,Matches!$A$2:$A$105,0)))</f>
        <v>Spain</v>
      </c>
      <c r="C127" s="11">
        <v>0.86</v>
      </c>
    </row>
    <row r="128" spans="1:3">
      <c r="A128">
        <f t="shared" si="1"/>
        <v>64</v>
      </c>
      <c r="B128" t="str">
        <f>IF(ISEVEN(ROW()),INDEX(Matches!$D$2:$D$105,MATCH(A128,Matches!$A$2:$A$105,0)),INDEX(Matches!$E$2:$E$105,MATCH(A128,Matches!$A$2:$A$105,0)))</f>
        <v>Cabo Verde</v>
      </c>
      <c r="C128" s="11">
        <v>1.39</v>
      </c>
    </row>
    <row r="129" spans="1:3">
      <c r="A129">
        <f t="shared" si="1"/>
        <v>64</v>
      </c>
      <c r="B129" t="str">
        <f>IF(ISEVEN(ROW()),INDEX(Matches!$D$2:$D$105,MATCH(A129,Matches!$A$2:$A$105,0)),INDEX(Matches!$E$2:$E$105,MATCH(A129,Matches!$A$2:$A$105,0)))</f>
        <v>Saudi Arabia</v>
      </c>
      <c r="C129" s="11">
        <v>0.39</v>
      </c>
    </row>
    <row r="130" spans="1:3">
      <c r="A130">
        <f t="shared" si="1"/>
        <v>65</v>
      </c>
      <c r="B130" t="str">
        <f>IF(ISEVEN(ROW()),INDEX(Matches!$D$2:$D$105,MATCH(A130,Matches!$A$2:$A$105,0)),INDEX(Matches!$E$2:$E$105,MATCH(A130,Matches!$A$2:$A$105,0)))</f>
        <v>Egypt</v>
      </c>
      <c r="C130" s="11">
        <v>0.84</v>
      </c>
    </row>
    <row r="131" spans="1:3">
      <c r="A131">
        <f t="shared" ref="A131:A194" si="2">INT((ROW()-2)/2)+1</f>
        <v>65</v>
      </c>
      <c r="B131" t="str">
        <f>IF(ISEVEN(ROW()),INDEX(Matches!$D$2:$D$105,MATCH(A131,Matches!$A$2:$A$105,0)),INDEX(Matches!$E$2:$E$105,MATCH(A131,Matches!$A$2:$A$105,0)))</f>
        <v>IR Iran</v>
      </c>
      <c r="C131" s="11">
        <v>1.97</v>
      </c>
    </row>
    <row r="132" spans="1:3">
      <c r="A132">
        <f t="shared" si="2"/>
        <v>66</v>
      </c>
      <c r="B132" t="str">
        <f>IF(ISEVEN(ROW()),INDEX(Matches!$D$2:$D$105,MATCH(A132,Matches!$A$2:$A$105,0)),INDEX(Matches!$E$2:$E$105,MATCH(A132,Matches!$A$2:$A$105,0)))</f>
        <v>New Zealand</v>
      </c>
      <c r="C132" s="11">
        <v>0.25</v>
      </c>
    </row>
    <row r="133" spans="1:3">
      <c r="A133">
        <f t="shared" si="2"/>
        <v>66</v>
      </c>
      <c r="B133" t="str">
        <f>IF(ISEVEN(ROW()),INDEX(Matches!$D$2:$D$105,MATCH(A133,Matches!$A$2:$A$105,0)),INDEX(Matches!$E$2:$E$105,MATCH(A133,Matches!$A$2:$A$105,0)))</f>
        <v>Belgium</v>
      </c>
      <c r="C133" s="11">
        <v>3.69</v>
      </c>
    </row>
    <row r="134" spans="1:3">
      <c r="A134">
        <f t="shared" si="2"/>
        <v>67</v>
      </c>
      <c r="B134" t="str">
        <f>IF(ISEVEN(ROW()),INDEX(Matches!$D$2:$D$105,MATCH(A134,Matches!$A$2:$A$105,0)),INDEX(Matches!$E$2:$E$105,MATCH(A134,Matches!$A$2:$A$105,0)))</f>
        <v>Croatia</v>
      </c>
      <c r="C134" s="11">
        <v>0.42</v>
      </c>
    </row>
    <row r="135" spans="1:3">
      <c r="A135">
        <f t="shared" si="2"/>
        <v>67</v>
      </c>
      <c r="B135" t="str">
        <f>IF(ISEVEN(ROW()),INDEX(Matches!$D$2:$D$105,MATCH(A135,Matches!$A$2:$A$105,0)),INDEX(Matches!$E$2:$E$105,MATCH(A135,Matches!$A$2:$A$105,0)))</f>
        <v>Ghana</v>
      </c>
      <c r="C135" s="11">
        <v>0.74</v>
      </c>
    </row>
    <row r="136" spans="1:3">
      <c r="A136">
        <f t="shared" si="2"/>
        <v>68</v>
      </c>
      <c r="B136" t="str">
        <f>IF(ISEVEN(ROW()),INDEX(Matches!$D$2:$D$105,MATCH(A136,Matches!$A$2:$A$105,0)),INDEX(Matches!$E$2:$E$105,MATCH(A136,Matches!$A$2:$A$105,0)))</f>
        <v>Panama</v>
      </c>
      <c r="C136" s="11">
        <v>0.57999999999999996</v>
      </c>
    </row>
    <row r="137" spans="1:3">
      <c r="A137">
        <f t="shared" si="2"/>
        <v>68</v>
      </c>
      <c r="B137" t="str">
        <f>IF(ISEVEN(ROW()),INDEX(Matches!$D$2:$D$105,MATCH(A137,Matches!$A$2:$A$105,0)),INDEX(Matches!$E$2:$E$105,MATCH(A137,Matches!$A$2:$A$105,0)))</f>
        <v>England</v>
      </c>
      <c r="C137" s="11">
        <v>1.49</v>
      </c>
    </row>
    <row r="138" spans="1:3">
      <c r="A138">
        <f t="shared" si="2"/>
        <v>69</v>
      </c>
      <c r="B138" t="str">
        <f>IF(ISEVEN(ROW()),INDEX(Matches!$D$2:$D$105,MATCH(A138,Matches!$A$2:$A$105,0)),INDEX(Matches!$E$2:$E$105,MATCH(A138,Matches!$A$2:$A$105,0)))</f>
        <v>Congo DR</v>
      </c>
      <c r="C138" s="11">
        <v>2.1800000000000002</v>
      </c>
    </row>
    <row r="139" spans="1:3">
      <c r="A139">
        <f t="shared" si="2"/>
        <v>69</v>
      </c>
      <c r="B139" t="str">
        <f>IF(ISEVEN(ROW()),INDEX(Matches!$D$2:$D$105,MATCH(A139,Matches!$A$2:$A$105,0)),INDEX(Matches!$E$2:$E$105,MATCH(A139,Matches!$A$2:$A$105,0)))</f>
        <v>Uzbekistan</v>
      </c>
      <c r="C139" s="11">
        <v>0.2</v>
      </c>
    </row>
    <row r="140" spans="1:3">
      <c r="A140">
        <f t="shared" si="2"/>
        <v>70</v>
      </c>
      <c r="B140" t="str">
        <f>IF(ISEVEN(ROW()),INDEX(Matches!$D$2:$D$105,MATCH(A140,Matches!$A$2:$A$105,0)),INDEX(Matches!$E$2:$E$105,MATCH(A140,Matches!$A$2:$A$105,0)))</f>
        <v>Colombia</v>
      </c>
      <c r="C140" s="11">
        <v>1.7</v>
      </c>
    </row>
    <row r="141" spans="1:3">
      <c r="A141">
        <f t="shared" si="2"/>
        <v>70</v>
      </c>
      <c r="B141" t="str">
        <f>IF(ISEVEN(ROW()),INDEX(Matches!$D$2:$D$105,MATCH(A141,Matches!$A$2:$A$105,0)),INDEX(Matches!$E$2:$E$105,MATCH(A141,Matches!$A$2:$A$105,0)))</f>
        <v>Portugal</v>
      </c>
      <c r="C141" s="11">
        <v>0.93</v>
      </c>
    </row>
    <row r="142" spans="1:3">
      <c r="A142">
        <f t="shared" si="2"/>
        <v>71</v>
      </c>
      <c r="B142" t="str">
        <f>IF(ISEVEN(ROW()),INDEX(Matches!$D$2:$D$105,MATCH(A142,Matches!$A$2:$A$105,0)),INDEX(Matches!$E$2:$E$105,MATCH(A142,Matches!$A$2:$A$105,0)))</f>
        <v>Jordan</v>
      </c>
      <c r="C142" s="11">
        <v>0.76</v>
      </c>
    </row>
    <row r="143" spans="1:3">
      <c r="A143">
        <f t="shared" si="2"/>
        <v>71</v>
      </c>
      <c r="B143" t="str">
        <f>IF(ISEVEN(ROW()),INDEX(Matches!$D$2:$D$105,MATCH(A143,Matches!$A$2:$A$105,0)),INDEX(Matches!$E$2:$E$105,MATCH(A143,Matches!$A$2:$A$105,0)))</f>
        <v>Argentina</v>
      </c>
      <c r="C143" s="11">
        <v>2.13</v>
      </c>
    </row>
    <row r="144" spans="1:3">
      <c r="A144">
        <f t="shared" si="2"/>
        <v>72</v>
      </c>
      <c r="B144" t="str">
        <f>IF(ISEVEN(ROW()),INDEX(Matches!$D$2:$D$105,MATCH(A144,Matches!$A$2:$A$105,0)),INDEX(Matches!$E$2:$E$105,MATCH(A144,Matches!$A$2:$A$105,0)))</f>
        <v>Algeria</v>
      </c>
      <c r="C144" s="11">
        <v>1.67</v>
      </c>
    </row>
    <row r="145" spans="1:3">
      <c r="A145">
        <f t="shared" si="2"/>
        <v>72</v>
      </c>
      <c r="B145" t="str">
        <f>IF(ISEVEN(ROW()),INDEX(Matches!$D$2:$D$105,MATCH(A145,Matches!$A$2:$A$105,0)),INDEX(Matches!$E$2:$E$105,MATCH(A145,Matches!$A$2:$A$105,0)))</f>
        <v>Austria</v>
      </c>
      <c r="C145" s="11">
        <v>1.49</v>
      </c>
    </row>
    <row r="146" spans="1:3">
      <c r="A146">
        <f t="shared" si="2"/>
        <v>73</v>
      </c>
      <c r="B146" t="str">
        <f>IF(ISEVEN(ROW()),INDEX(Matches!$D$2:$D$105,MATCH(A146,Matches!$A$2:$A$105,0)),INDEX(Matches!$E$2:$E$105,MATCH(A146,Matches!$A$2:$A$105,0)))</f>
        <v>South Africa</v>
      </c>
      <c r="C146" s="11">
        <v>0.14000000000000001</v>
      </c>
    </row>
    <row r="147" spans="1:3">
      <c r="A147">
        <f t="shared" si="2"/>
        <v>73</v>
      </c>
      <c r="B147" t="str">
        <f>IF(ISEVEN(ROW()),INDEX(Matches!$D$2:$D$105,MATCH(A147,Matches!$A$2:$A$105,0)),INDEX(Matches!$E$2:$E$105,MATCH(A147,Matches!$A$2:$A$105,0)))</f>
        <v>Canada</v>
      </c>
      <c r="C147" s="11">
        <v>1.38</v>
      </c>
    </row>
    <row r="148" spans="1:3">
      <c r="A148">
        <f t="shared" si="2"/>
        <v>74</v>
      </c>
      <c r="B148" t="str">
        <f>IF(ISEVEN(ROW()),INDEX(Matches!$D$2:$D$105,MATCH(A148,Matches!$A$2:$A$105,0)),INDEX(Matches!$E$2:$E$105,MATCH(A148,Matches!$A$2:$A$105,0)))</f>
        <v>Brazil</v>
      </c>
      <c r="C148" s="11">
        <v>2.0699999999999998</v>
      </c>
    </row>
    <row r="149" spans="1:3">
      <c r="A149">
        <f t="shared" si="2"/>
        <v>74</v>
      </c>
      <c r="B149" t="str">
        <f>IF(ISEVEN(ROW()),INDEX(Matches!$D$2:$D$105,MATCH(A149,Matches!$A$2:$A$105,0)),INDEX(Matches!$E$2:$E$105,MATCH(A149,Matches!$A$2:$A$105,0)))</f>
        <v>Japan</v>
      </c>
      <c r="C149" s="11">
        <v>0.33</v>
      </c>
    </row>
    <row r="150" spans="1:3">
      <c r="A150">
        <f t="shared" si="2"/>
        <v>75</v>
      </c>
      <c r="B150" t="str">
        <f>IF(ISEVEN(ROW()),INDEX(Matches!$D$2:$D$105,MATCH(A150,Matches!$A$2:$A$105,0)),INDEX(Matches!$E$2:$E$105,MATCH(A150,Matches!$A$2:$A$105,0)))</f>
        <v>Germany</v>
      </c>
      <c r="C150" s="11">
        <v>1.57</v>
      </c>
    </row>
    <row r="151" spans="1:3">
      <c r="A151">
        <f t="shared" si="2"/>
        <v>75</v>
      </c>
      <c r="B151" t="str">
        <f>IF(ISEVEN(ROW()),INDEX(Matches!$D$2:$D$105,MATCH(A151,Matches!$A$2:$A$105,0)),INDEX(Matches!$E$2:$E$105,MATCH(A151,Matches!$A$2:$A$105,0)))</f>
        <v>Paraguay</v>
      </c>
      <c r="C151" s="11">
        <v>0.35</v>
      </c>
    </row>
    <row r="152" spans="1:3">
      <c r="A152">
        <f t="shared" si="2"/>
        <v>76</v>
      </c>
      <c r="B152" t="str">
        <f>IF(ISEVEN(ROW()),INDEX(Matches!$D$2:$D$105,MATCH(A152,Matches!$A$2:$A$105,0)),INDEX(Matches!$E$2:$E$105,MATCH(A152,Matches!$A$2:$A$105,0)))</f>
        <v>Netherlands</v>
      </c>
      <c r="C152" s="11">
        <v>0.24</v>
      </c>
    </row>
    <row r="153" spans="1:3">
      <c r="A153">
        <f t="shared" si="2"/>
        <v>76</v>
      </c>
      <c r="B153" t="str">
        <f>IF(ISEVEN(ROW()),INDEX(Matches!$D$2:$D$105,MATCH(A153,Matches!$A$2:$A$105,0)),INDEX(Matches!$E$2:$E$105,MATCH(A153,Matches!$A$2:$A$105,0)))</f>
        <v>Morocco</v>
      </c>
      <c r="C153" s="11">
        <v>1.38</v>
      </c>
    </row>
    <row r="154" spans="1:3">
      <c r="A154">
        <f t="shared" si="2"/>
        <v>77</v>
      </c>
      <c r="B154" t="str">
        <f>IF(ISEVEN(ROW()),INDEX(Matches!$D$2:$D$105,MATCH(A154,Matches!$A$2:$A$105,0)),INDEX(Matches!$E$2:$E$105,MATCH(A154,Matches!$A$2:$A$105,0)))</f>
        <v>Côte d'Ivoire</v>
      </c>
      <c r="C154" s="11">
        <v>1.49</v>
      </c>
    </row>
    <row r="155" spans="1:3">
      <c r="A155">
        <f t="shared" si="2"/>
        <v>77</v>
      </c>
      <c r="B155" t="str">
        <f>IF(ISEVEN(ROW()),INDEX(Matches!$D$2:$D$105,MATCH(A155,Matches!$A$2:$A$105,0)),INDEX(Matches!$E$2:$E$105,MATCH(A155,Matches!$A$2:$A$105,0)))</f>
        <v>Norway</v>
      </c>
      <c r="C155" s="11">
        <v>1.9</v>
      </c>
    </row>
    <row r="156" spans="1:3">
      <c r="A156">
        <f t="shared" si="2"/>
        <v>78</v>
      </c>
      <c r="B156" t="str">
        <f>IF(ISEVEN(ROW()),INDEX(Matches!$D$2:$D$105,MATCH(A156,Matches!$A$2:$A$105,0)),INDEX(Matches!$E$2:$E$105,MATCH(A156,Matches!$A$2:$A$105,0)))</f>
        <v>France</v>
      </c>
      <c r="C156" s="11">
        <v>3.24</v>
      </c>
    </row>
    <row r="157" spans="1:3">
      <c r="A157">
        <f t="shared" si="2"/>
        <v>78</v>
      </c>
      <c r="B157" t="str">
        <f>IF(ISEVEN(ROW()),INDEX(Matches!$D$2:$D$105,MATCH(A157,Matches!$A$2:$A$105,0)),INDEX(Matches!$E$2:$E$105,MATCH(A157,Matches!$A$2:$A$105,0)))</f>
        <v>Sweden</v>
      </c>
      <c r="C157" s="11">
        <v>0.7</v>
      </c>
    </row>
    <row r="158" spans="1:3">
      <c r="A158">
        <f t="shared" si="2"/>
        <v>79</v>
      </c>
      <c r="B158" t="str">
        <f>IF(ISEVEN(ROW()),INDEX(Matches!$D$2:$D$105,MATCH(A158,Matches!$A$2:$A$105,0)),INDEX(Matches!$E$2:$E$105,MATCH(A158,Matches!$A$2:$A$105,0)))</f>
        <v>Mexico</v>
      </c>
      <c r="C158" s="11">
        <v>1.05</v>
      </c>
    </row>
    <row r="159" spans="1:3">
      <c r="A159">
        <f t="shared" si="2"/>
        <v>79</v>
      </c>
      <c r="B159" t="str">
        <f>IF(ISEVEN(ROW()),INDEX(Matches!$D$2:$D$105,MATCH(A159,Matches!$A$2:$A$105,0)),INDEX(Matches!$E$2:$E$105,MATCH(A159,Matches!$A$2:$A$105,0)))</f>
        <v>Ecuador</v>
      </c>
      <c r="C159" s="11">
        <v>0.75</v>
      </c>
    </row>
    <row r="160" spans="1:3">
      <c r="A160">
        <f t="shared" si="2"/>
        <v>80</v>
      </c>
      <c r="B160" t="str">
        <f>IF(ISEVEN(ROW()),INDEX(Matches!$D$2:$D$105,MATCH(A160,Matches!$A$2:$A$105,0)),INDEX(Matches!$E$2:$E$105,MATCH(A160,Matches!$A$2:$A$105,0)))</f>
        <v>England</v>
      </c>
      <c r="C160" s="11">
        <v>2.16</v>
      </c>
    </row>
    <row r="161" spans="1:3">
      <c r="A161">
        <f t="shared" si="2"/>
        <v>80</v>
      </c>
      <c r="B161" t="str">
        <f>IF(ISEVEN(ROW()),INDEX(Matches!$D$2:$D$105,MATCH(A161,Matches!$A$2:$A$105,0)),INDEX(Matches!$E$2:$E$105,MATCH(A161,Matches!$A$2:$A$105,0)))</f>
        <v>Congo DR</v>
      </c>
      <c r="C161" s="11">
        <v>0.77</v>
      </c>
    </row>
    <row r="162" spans="1:3">
      <c r="A162">
        <f t="shared" si="2"/>
        <v>81</v>
      </c>
      <c r="B162" t="str">
        <f>IF(ISEVEN(ROW()),INDEX(Matches!$D$2:$D$105,MATCH(A162,Matches!$A$2:$A$105,0)),INDEX(Matches!$E$2:$E$105,MATCH(A162,Matches!$A$2:$A$105,0)))</f>
        <v>Belgium</v>
      </c>
      <c r="C162" s="11">
        <v>1.74</v>
      </c>
    </row>
    <row r="163" spans="1:3">
      <c r="A163">
        <f t="shared" si="2"/>
        <v>81</v>
      </c>
      <c r="B163" t="str">
        <f>IF(ISEVEN(ROW()),INDEX(Matches!$D$2:$D$105,MATCH(A163,Matches!$A$2:$A$105,0)),INDEX(Matches!$E$2:$E$105,MATCH(A163,Matches!$A$2:$A$105,0)))</f>
        <v>Senegal</v>
      </c>
      <c r="C163" s="11">
        <v>3.58</v>
      </c>
    </row>
    <row r="164" spans="1:3">
      <c r="A164">
        <f t="shared" si="2"/>
        <v>82</v>
      </c>
      <c r="B164" t="str">
        <f>IF(ISEVEN(ROW()),INDEX(Matches!$D$2:$D$105,MATCH(A164,Matches!$A$2:$A$105,0)),INDEX(Matches!$E$2:$E$105,MATCH(A164,Matches!$A$2:$A$105,0)))</f>
        <v>USA</v>
      </c>
      <c r="C164" s="11">
        <v>0.88</v>
      </c>
    </row>
    <row r="165" spans="1:3">
      <c r="A165">
        <f t="shared" si="2"/>
        <v>82</v>
      </c>
      <c r="B165" t="str">
        <f>IF(ISEVEN(ROW()),INDEX(Matches!$D$2:$D$105,MATCH(A165,Matches!$A$2:$A$105,0)),INDEX(Matches!$E$2:$E$105,MATCH(A165,Matches!$A$2:$A$105,0)))</f>
        <v>Bosnia and Herzegovina</v>
      </c>
      <c r="C165" s="11">
        <v>0.25</v>
      </c>
    </row>
    <row r="166" spans="1:3">
      <c r="A166">
        <f t="shared" si="2"/>
        <v>83</v>
      </c>
      <c r="B166" t="str">
        <f>IF(ISEVEN(ROW()),INDEX(Matches!$D$2:$D$105,MATCH(A166,Matches!$A$2:$A$105,0)),INDEX(Matches!$E$2:$E$105,MATCH(A166,Matches!$A$2:$A$105,0)))</f>
        <v>Spain</v>
      </c>
      <c r="C166" s="11">
        <v>2.8</v>
      </c>
    </row>
    <row r="167" spans="1:3">
      <c r="A167">
        <f t="shared" si="2"/>
        <v>83</v>
      </c>
      <c r="B167" t="str">
        <f>IF(ISEVEN(ROW()),INDEX(Matches!$D$2:$D$105,MATCH(A167,Matches!$A$2:$A$105,0)),INDEX(Matches!$E$2:$E$105,MATCH(A167,Matches!$A$2:$A$105,0)))</f>
        <v>Austria</v>
      </c>
      <c r="C167" s="11">
        <v>0.32</v>
      </c>
    </row>
    <row r="168" spans="1:3">
      <c r="A168">
        <f t="shared" si="2"/>
        <v>84</v>
      </c>
      <c r="B168" t="str">
        <f>IF(ISEVEN(ROW()),INDEX(Matches!$D$2:$D$105,MATCH(A168,Matches!$A$2:$A$105,0)),INDEX(Matches!$E$2:$E$105,MATCH(A168,Matches!$A$2:$A$105,0)))</f>
        <v>Portugal</v>
      </c>
      <c r="C168" s="11">
        <v>2.2000000000000002</v>
      </c>
    </row>
    <row r="169" spans="1:3">
      <c r="A169">
        <f t="shared" si="2"/>
        <v>84</v>
      </c>
      <c r="B169" t="str">
        <f>IF(ISEVEN(ROW()),INDEX(Matches!$D$2:$D$105,MATCH(A169,Matches!$A$2:$A$105,0)),INDEX(Matches!$E$2:$E$105,MATCH(A169,Matches!$A$2:$A$105,0)))</f>
        <v>Croatia</v>
      </c>
      <c r="C169" s="11">
        <v>1.34</v>
      </c>
    </row>
    <row r="170" spans="1:3">
      <c r="A170">
        <f t="shared" si="2"/>
        <v>85</v>
      </c>
      <c r="B170" t="str">
        <f>IF(ISEVEN(ROW()),INDEX(Matches!$D$2:$D$105,MATCH(A170,Matches!$A$2:$A$105,0)),INDEX(Matches!$E$2:$E$105,MATCH(A170,Matches!$A$2:$A$105,0)))</f>
        <v>Switzerland</v>
      </c>
      <c r="C170" s="11">
        <v>2.52</v>
      </c>
    </row>
    <row r="171" spans="1:3">
      <c r="A171">
        <f t="shared" si="2"/>
        <v>85</v>
      </c>
      <c r="B171" t="str">
        <f>IF(ISEVEN(ROW()),INDEX(Matches!$D$2:$D$105,MATCH(A171,Matches!$A$2:$A$105,0)),INDEX(Matches!$E$2:$E$105,MATCH(A171,Matches!$A$2:$A$105,0)))</f>
        <v>Algeria</v>
      </c>
      <c r="C171" s="11">
        <v>0.73</v>
      </c>
    </row>
    <row r="172" spans="1:3">
      <c r="A172">
        <f t="shared" si="2"/>
        <v>86</v>
      </c>
      <c r="B172" t="str">
        <f>IF(ISEVEN(ROW()),INDEX(Matches!$D$2:$D$105,MATCH(A172,Matches!$A$2:$A$105,0)),INDEX(Matches!$E$2:$E$105,MATCH(A172,Matches!$A$2:$A$105,0)))</f>
        <v>Australia</v>
      </c>
      <c r="C172" s="11">
        <v>0.84</v>
      </c>
    </row>
    <row r="173" spans="1:3">
      <c r="A173">
        <f t="shared" si="2"/>
        <v>86</v>
      </c>
      <c r="B173" t="str">
        <f>IF(ISEVEN(ROW()),INDEX(Matches!$D$2:$D$105,MATCH(A173,Matches!$A$2:$A$105,0)),INDEX(Matches!$E$2:$E$105,MATCH(A173,Matches!$A$2:$A$105,0)))</f>
        <v>Egypt</v>
      </c>
      <c r="C173" s="11">
        <v>1.32</v>
      </c>
    </row>
    <row r="174" spans="1:3">
      <c r="A174">
        <f t="shared" si="2"/>
        <v>87</v>
      </c>
      <c r="B174" t="str">
        <f>IF(ISEVEN(ROW()),INDEX(Matches!$D$2:$D$105,MATCH(A174,Matches!$A$2:$A$105,0)),INDEX(Matches!$E$2:$E$105,MATCH(A174,Matches!$A$2:$A$105,0)))</f>
        <v>Argentina</v>
      </c>
      <c r="C174" s="11">
        <v>2.2599999999999998</v>
      </c>
    </row>
    <row r="175" spans="1:3">
      <c r="A175">
        <f t="shared" si="2"/>
        <v>87</v>
      </c>
      <c r="B175" t="str">
        <f>IF(ISEVEN(ROW()),INDEX(Matches!$D$2:$D$105,MATCH(A175,Matches!$A$2:$A$105,0)),INDEX(Matches!$E$2:$E$105,MATCH(A175,Matches!$A$2:$A$105,0)))</f>
        <v>Cabo Verde</v>
      </c>
      <c r="C175" s="11">
        <v>0.47</v>
      </c>
    </row>
    <row r="176" spans="1:3">
      <c r="A176">
        <f t="shared" si="2"/>
        <v>88</v>
      </c>
      <c r="B176" t="str">
        <f>IF(ISEVEN(ROW()),INDEX(Matches!$D$2:$D$105,MATCH(A176,Matches!$A$2:$A$105,0)),INDEX(Matches!$E$2:$E$105,MATCH(A176,Matches!$A$2:$A$105,0)))</f>
        <v>Colombia</v>
      </c>
      <c r="C176" s="11">
        <v>2.04</v>
      </c>
    </row>
    <row r="177" spans="1:3">
      <c r="A177">
        <f t="shared" si="2"/>
        <v>88</v>
      </c>
      <c r="B177" t="str">
        <f>IF(ISEVEN(ROW()),INDEX(Matches!$D$2:$D$105,MATCH(A177,Matches!$A$2:$A$105,0)),INDEX(Matches!$E$2:$E$105,MATCH(A177,Matches!$A$2:$A$105,0)))</f>
        <v>Ghana</v>
      </c>
      <c r="C177" s="11">
        <v>0.27</v>
      </c>
    </row>
    <row r="178" spans="1:3">
      <c r="A178">
        <f t="shared" si="2"/>
        <v>89</v>
      </c>
      <c r="B178" t="str">
        <f>IF(ISEVEN(ROW()),INDEX(Matches!$D$2:$D$105,MATCH(A178,Matches!$A$2:$A$105,0)),INDEX(Matches!$E$2:$E$105,MATCH(A178,Matches!$A$2:$A$105,0)))</f>
        <v>Canada</v>
      </c>
      <c r="C178" s="11">
        <v>0.84</v>
      </c>
    </row>
    <row r="179" spans="1:3">
      <c r="A179">
        <f t="shared" si="2"/>
        <v>89</v>
      </c>
      <c r="B179" t="str">
        <f>IF(ISEVEN(ROW()),INDEX(Matches!$D$2:$D$105,MATCH(A179,Matches!$A$2:$A$105,0)),INDEX(Matches!$E$2:$E$105,MATCH(A179,Matches!$A$2:$A$105,0)))</f>
        <v>Morocco</v>
      </c>
      <c r="C179" s="11">
        <v>0.82</v>
      </c>
    </row>
    <row r="180" spans="1:3">
      <c r="A180">
        <f t="shared" si="2"/>
        <v>90</v>
      </c>
      <c r="B180" t="str">
        <f>IF(ISEVEN(ROW()),INDEX(Matches!$D$2:$D$105,MATCH(A180,Matches!$A$2:$A$105,0)),INDEX(Matches!$E$2:$E$105,MATCH(A180,Matches!$A$2:$A$105,0)))</f>
        <v>Paraguay</v>
      </c>
      <c r="C180" s="11">
        <v>0.13</v>
      </c>
    </row>
    <row r="181" spans="1:3">
      <c r="A181">
        <f t="shared" si="2"/>
        <v>90</v>
      </c>
      <c r="B181" t="str">
        <f>IF(ISEVEN(ROW()),INDEX(Matches!$D$2:$D$105,MATCH(A181,Matches!$A$2:$A$105,0)),INDEX(Matches!$E$2:$E$105,MATCH(A181,Matches!$A$2:$A$105,0)))</f>
        <v>France</v>
      </c>
      <c r="C181" s="11">
        <v>1.45</v>
      </c>
    </row>
    <row r="182" spans="1:3">
      <c r="A182">
        <f t="shared" si="2"/>
        <v>91</v>
      </c>
      <c r="B182" t="str">
        <f>IF(ISEVEN(ROW()),INDEX(Matches!$D$2:$D$105,MATCH(A182,Matches!$A$2:$A$105,0)),INDEX(Matches!$E$2:$E$105,MATCH(A182,Matches!$A$2:$A$105,0)))</f>
        <v>Brazil</v>
      </c>
      <c r="C182" s="11">
        <v>2.61</v>
      </c>
    </row>
    <row r="183" spans="1:3">
      <c r="A183">
        <f t="shared" si="2"/>
        <v>91</v>
      </c>
      <c r="B183" t="str">
        <f>IF(ISEVEN(ROW()),INDEX(Matches!$D$2:$D$105,MATCH(A183,Matches!$A$2:$A$105,0)),INDEX(Matches!$E$2:$E$105,MATCH(A183,Matches!$A$2:$A$105,0)))</f>
        <v>Norway</v>
      </c>
      <c r="C183" s="11">
        <v>1.05</v>
      </c>
    </row>
    <row r="184" spans="1:3">
      <c r="A184">
        <f t="shared" si="2"/>
        <v>92</v>
      </c>
      <c r="B184" t="str">
        <f>IF(ISEVEN(ROW()),INDEX(Matches!$D$2:$D$105,MATCH(A184,Matches!$A$2:$A$105,0)),INDEX(Matches!$E$2:$E$105,MATCH(A184,Matches!$A$2:$A$105,0)))</f>
        <v>Mexico</v>
      </c>
      <c r="C184" s="11">
        <v>1.88</v>
      </c>
    </row>
    <row r="185" spans="1:3">
      <c r="A185">
        <f t="shared" si="2"/>
        <v>92</v>
      </c>
      <c r="B185" t="str">
        <f>IF(ISEVEN(ROW()),INDEX(Matches!$D$2:$D$105,MATCH(A185,Matches!$A$2:$A$105,0)),INDEX(Matches!$E$2:$E$105,MATCH(A185,Matches!$A$2:$A$105,0)))</f>
        <v>England</v>
      </c>
      <c r="C185" s="11">
        <v>1.61</v>
      </c>
    </row>
    <row r="186" spans="1:3">
      <c r="A186">
        <f t="shared" si="2"/>
        <v>93</v>
      </c>
      <c r="B186" t="str">
        <f>IF(ISEVEN(ROW()),INDEX(Matches!$D$2:$D$105,MATCH(A186,Matches!$A$2:$A$105,0)),INDEX(Matches!$E$2:$E$105,MATCH(A186,Matches!$A$2:$A$105,0)))</f>
        <v>Portugal</v>
      </c>
      <c r="C186" s="11">
        <v>0.63</v>
      </c>
    </row>
    <row r="187" spans="1:3">
      <c r="A187">
        <f t="shared" si="2"/>
        <v>93</v>
      </c>
      <c r="B187" t="str">
        <f>IF(ISEVEN(ROW()),INDEX(Matches!$D$2:$D$105,MATCH(A187,Matches!$A$2:$A$105,0)),INDEX(Matches!$E$2:$E$105,MATCH(A187,Matches!$A$2:$A$105,0)))</f>
        <v>Spain</v>
      </c>
      <c r="C187" s="11">
        <v>1.69</v>
      </c>
    </row>
    <row r="188" spans="1:3">
      <c r="A188">
        <f t="shared" si="2"/>
        <v>94</v>
      </c>
      <c r="B188" t="str">
        <f>IF(ISEVEN(ROW()),INDEX(Matches!$D$2:$D$105,MATCH(A188,Matches!$A$2:$A$105,0)),INDEX(Matches!$E$2:$E$105,MATCH(A188,Matches!$A$2:$A$105,0)))</f>
        <v>USA</v>
      </c>
      <c r="C188" s="11">
        <v>0.63</v>
      </c>
    </row>
    <row r="189" spans="1:3">
      <c r="A189">
        <f t="shared" si="2"/>
        <v>94</v>
      </c>
      <c r="B189" t="str">
        <f>IF(ISEVEN(ROW()),INDEX(Matches!$D$2:$D$105,MATCH(A189,Matches!$A$2:$A$105,0)),INDEX(Matches!$E$2:$E$105,MATCH(A189,Matches!$A$2:$A$105,0)))</f>
        <v>Belgium</v>
      </c>
      <c r="C189" s="11">
        <v>2.0099999999999998</v>
      </c>
    </row>
    <row r="190" spans="1:3">
      <c r="A190">
        <f t="shared" si="2"/>
        <v>95</v>
      </c>
      <c r="B190" t="str">
        <f>IF(ISEVEN(ROW()),INDEX(Matches!$D$2:$D$105,MATCH(A190,Matches!$A$2:$A$105,0)),INDEX(Matches!$E$2:$E$105,MATCH(A190,Matches!$A$2:$A$105,0)))</f>
        <v>Argentina</v>
      </c>
      <c r="C190" s="11">
        <v>2.84</v>
      </c>
    </row>
    <row r="191" spans="1:3">
      <c r="A191">
        <f t="shared" si="2"/>
        <v>95</v>
      </c>
      <c r="B191" t="str">
        <f>IF(ISEVEN(ROW()),INDEX(Matches!$D$2:$D$105,MATCH(A191,Matches!$A$2:$A$105,0)),INDEX(Matches!$E$2:$E$105,MATCH(A191,Matches!$A$2:$A$105,0)))</f>
        <v>Egypt</v>
      </c>
      <c r="C191" s="11">
        <v>0.89</v>
      </c>
    </row>
    <row r="192" spans="1:3">
      <c r="A192">
        <f t="shared" si="2"/>
        <v>96</v>
      </c>
      <c r="B192" t="str">
        <f>IF(ISEVEN(ROW()),INDEX(Matches!$D$2:$D$105,MATCH(A192,Matches!$A$2:$A$105,0)),INDEX(Matches!$E$2:$E$105,MATCH(A192,Matches!$A$2:$A$105,0)))</f>
        <v>Switzerland</v>
      </c>
      <c r="C192" s="11">
        <v>0.39</v>
      </c>
    </row>
    <row r="193" spans="1:3">
      <c r="A193">
        <f t="shared" si="2"/>
        <v>96</v>
      </c>
      <c r="B193" t="str">
        <f>IF(ISEVEN(ROW()),INDEX(Matches!$D$2:$D$105,MATCH(A193,Matches!$A$2:$A$105,0)),INDEX(Matches!$E$2:$E$105,MATCH(A193,Matches!$A$2:$A$105,0)))</f>
        <v>Colombia</v>
      </c>
      <c r="C193" s="11">
        <v>1.0900000000000001</v>
      </c>
    </row>
    <row r="194" spans="1:3">
      <c r="A194">
        <f t="shared" si="2"/>
        <v>97</v>
      </c>
      <c r="B194" t="str">
        <f>IF(ISEVEN(ROW()),INDEX(Matches!$D$2:$D$105,MATCH(A194,Matches!$A$2:$A$105,0)),INDEX(Matches!$E$2:$E$105,MATCH(A194,Matches!$A$2:$A$105,0)))</f>
        <v>France</v>
      </c>
      <c r="C194" s="11">
        <v>3.69</v>
      </c>
    </row>
    <row r="195" spans="1:3">
      <c r="A195">
        <f t="shared" ref="A195:A209" si="3">INT((ROW()-2)/2)+1</f>
        <v>97</v>
      </c>
      <c r="B195" t="str">
        <f>IF(ISEVEN(ROW()),INDEX(Matches!$D$2:$D$105,MATCH(A195,Matches!$A$2:$A$105,0)),INDEX(Matches!$E$2:$E$105,MATCH(A195,Matches!$A$2:$A$105,0)))</f>
        <v>Morocco</v>
      </c>
      <c r="C195" s="11">
        <v>0.14000000000000001</v>
      </c>
    </row>
    <row r="196" spans="1:3">
      <c r="A196">
        <f t="shared" si="3"/>
        <v>98</v>
      </c>
      <c r="B196" t="str">
        <f>IF(ISEVEN(ROW()),INDEX(Matches!$D$2:$D$105,MATCH(A196,Matches!$A$2:$A$105,0)),INDEX(Matches!$E$2:$E$105,MATCH(A196,Matches!$A$2:$A$105,0)))</f>
        <v>Spain</v>
      </c>
      <c r="C196" s="11">
        <v>2.1</v>
      </c>
    </row>
    <row r="197" spans="1:3">
      <c r="A197">
        <f t="shared" si="3"/>
        <v>98</v>
      </c>
      <c r="B197" t="str">
        <f>IF(ISEVEN(ROW()),INDEX(Matches!$D$2:$D$105,MATCH(A197,Matches!$A$2:$A$105,0)),INDEX(Matches!$E$2:$E$105,MATCH(A197,Matches!$A$2:$A$105,0)))</f>
        <v>Belgium</v>
      </c>
      <c r="C197" s="11">
        <v>0.37</v>
      </c>
    </row>
    <row r="198" spans="1:3">
      <c r="A198">
        <f t="shared" si="3"/>
        <v>99</v>
      </c>
      <c r="B198" t="str">
        <f>IF(ISEVEN(ROW()),INDEX(Matches!$D$2:$D$105,MATCH(A198,Matches!$A$2:$A$105,0)),INDEX(Matches!$E$2:$E$105,MATCH(A198,Matches!$A$2:$A$105,0)))</f>
        <v>Norway</v>
      </c>
      <c r="C198" s="11">
        <v>0.68</v>
      </c>
    </row>
    <row r="199" spans="1:3">
      <c r="A199">
        <f t="shared" si="3"/>
        <v>99</v>
      </c>
      <c r="B199" t="str">
        <f>IF(ISEVEN(ROW()),INDEX(Matches!$D$2:$D$105,MATCH(A199,Matches!$A$2:$A$105,0)),INDEX(Matches!$E$2:$E$105,MATCH(A199,Matches!$A$2:$A$105,0)))</f>
        <v>England</v>
      </c>
      <c r="C199" s="11">
        <v>1.04</v>
      </c>
    </row>
    <row r="200" spans="1:3">
      <c r="A200">
        <f t="shared" si="3"/>
        <v>100</v>
      </c>
      <c r="B200" t="str">
        <f>IF(ISEVEN(ROW()),INDEX(Matches!$D$2:$D$105,MATCH(A200,Matches!$A$2:$A$105,0)),INDEX(Matches!$E$2:$E$105,MATCH(A200,Matches!$A$2:$A$105,0)))</f>
        <v>Argentina</v>
      </c>
      <c r="C200" s="11">
        <v>1.94</v>
      </c>
    </row>
    <row r="201" spans="1:3">
      <c r="A201">
        <f t="shared" si="3"/>
        <v>100</v>
      </c>
      <c r="B201" t="str">
        <f>IF(ISEVEN(ROW()),INDEX(Matches!$D$2:$D$105,MATCH(A201,Matches!$A$2:$A$105,0)),INDEX(Matches!$E$2:$E$105,MATCH(A201,Matches!$A$2:$A$105,0)))</f>
        <v>Switzerland</v>
      </c>
      <c r="C201" s="11">
        <v>0.47</v>
      </c>
    </row>
    <row r="202" spans="1:3">
      <c r="A202">
        <f t="shared" si="3"/>
        <v>101</v>
      </c>
      <c r="B202" t="str">
        <f>IF(ISEVEN(ROW()),INDEX(Matches!$D$2:$D$105,MATCH(A202,Matches!$A$2:$A$105,0)),INDEX(Matches!$E$2:$E$105,MATCH(A202,Matches!$A$2:$A$105,0)))</f>
        <v>France</v>
      </c>
      <c r="C202" s="11">
        <v>0.3</v>
      </c>
    </row>
    <row r="203" spans="1:3">
      <c r="A203">
        <f t="shared" si="3"/>
        <v>101</v>
      </c>
      <c r="B203" t="str">
        <f>IF(ISEVEN(ROW()),INDEX(Matches!$D$2:$D$105,MATCH(A203,Matches!$A$2:$A$105,0)),INDEX(Matches!$E$2:$E$105,MATCH(A203,Matches!$A$2:$A$105,0)))</f>
        <v>Spain</v>
      </c>
      <c r="C203" s="11">
        <v>1.63</v>
      </c>
    </row>
    <row r="204" spans="1:3">
      <c r="A204">
        <f t="shared" si="3"/>
        <v>102</v>
      </c>
      <c r="B204" t="str">
        <f>IF(ISEVEN(ROW()),INDEX(Matches!$D$2:$D$105,MATCH(A204,Matches!$A$2:$A$105,0)),INDEX(Matches!$E$2:$E$105,MATCH(A204,Matches!$A$2:$A$105,0)))</f>
        <v>England</v>
      </c>
      <c r="C204" s="11">
        <v>0.53</v>
      </c>
    </row>
    <row r="205" spans="1:3">
      <c r="A205">
        <f t="shared" si="3"/>
        <v>102</v>
      </c>
      <c r="B205" t="str">
        <f>IF(ISEVEN(ROW()),INDEX(Matches!$D$2:$D$105,MATCH(A205,Matches!$A$2:$A$105,0)),INDEX(Matches!$E$2:$E$105,MATCH(A205,Matches!$A$2:$A$105,0)))</f>
        <v>Argentina</v>
      </c>
      <c r="C205" s="11">
        <v>1.84</v>
      </c>
    </row>
    <row r="206" spans="1:3">
      <c r="A206">
        <f t="shared" si="3"/>
        <v>103</v>
      </c>
      <c r="B206" t="str">
        <f>IF(ISEVEN(ROW()),INDEX(Matches!$D$2:$D$105,MATCH(A206,Matches!$A$2:$A$105,0)),INDEX(Matches!$E$2:$E$105,MATCH(A206,Matches!$A$2:$A$105,0)))</f>
        <v>France</v>
      </c>
    </row>
    <row r="207" spans="1:3">
      <c r="A207">
        <f t="shared" si="3"/>
        <v>103</v>
      </c>
      <c r="B207" t="str">
        <f>IF(ISEVEN(ROW()),INDEX(Matches!$D$2:$D$105,MATCH(A207,Matches!$A$2:$A$105,0)),INDEX(Matches!$E$2:$E$105,MATCH(A207,Matches!$A$2:$A$105,0)))</f>
        <v>England</v>
      </c>
    </row>
    <row r="208" spans="1:3">
      <c r="A208">
        <f t="shared" si="3"/>
        <v>104</v>
      </c>
      <c r="B208" t="str">
        <f>IF(ISEVEN(ROW()),INDEX(Matches!$D$2:$D$105,MATCH(A208,Matches!$A$2:$A$105,0)),INDEX(Matches!$E$2:$E$105,MATCH(A208,Matches!$A$2:$A$105,0)))</f>
        <v>Spain</v>
      </c>
      <c r="C208" s="11">
        <v>2.29</v>
      </c>
    </row>
    <row r="209" spans="1:3">
      <c r="A209">
        <f t="shared" si="3"/>
        <v>104</v>
      </c>
      <c r="B209" t="str">
        <f>IF(ISEVEN(ROW()),INDEX(Matches!$D$2:$D$105,MATCH(A209,Matches!$A$2:$A$105,0)),INDEX(Matches!$E$2:$E$105,MATCH(A209,Matches!$A$2:$A$105,0)))</f>
        <v>Argentina</v>
      </c>
      <c r="C209" s="11">
        <v>0.22</v>
      </c>
    </row>
  </sheetData>
  <autoFilter ref="A1:C209" xr:uid="{70301859-4B36-2148-ABEB-4A9CF467426B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2F952-CB93-964D-B771-FE5F23B91798}">
  <dimension ref="A1:D33"/>
  <sheetViews>
    <sheetView workbookViewId="0">
      <selection activeCell="B1" sqref="B1"/>
    </sheetView>
  </sheetViews>
  <sheetFormatPr baseColWidth="10" defaultRowHeight="16"/>
  <cols>
    <col min="1" max="1" width="36.5" customWidth="1"/>
    <col min="2" max="2" width="10.83203125" style="11"/>
    <col min="4" max="4" width="14.83203125" customWidth="1"/>
  </cols>
  <sheetData>
    <row r="1" spans="1:4">
      <c r="A1" s="13" t="s">
        <v>316</v>
      </c>
      <c r="B1" s="14" t="s">
        <v>317</v>
      </c>
      <c r="D1" t="s">
        <v>345</v>
      </c>
    </row>
    <row r="2" spans="1:4">
      <c r="D2" s="6">
        <v>15</v>
      </c>
    </row>
    <row r="3" spans="1:4" ht="18">
      <c r="A3" s="12" t="s">
        <v>318</v>
      </c>
      <c r="B3" s="11">
        <f>SUM(D2:D33)/128</f>
        <v>1.328125</v>
      </c>
      <c r="D3" s="6">
        <v>3</v>
      </c>
    </row>
    <row r="4" spans="1:4">
      <c r="D4" s="6">
        <v>1</v>
      </c>
    </row>
    <row r="5" spans="1:4">
      <c r="D5" s="6">
        <v>8</v>
      </c>
    </row>
    <row r="6" spans="1:4">
      <c r="D6" s="6">
        <v>4</v>
      </c>
    </row>
    <row r="7" spans="1:4">
      <c r="D7" s="6">
        <v>1</v>
      </c>
    </row>
    <row r="8" spans="1:4">
      <c r="D8" s="6">
        <v>3</v>
      </c>
    </row>
    <row r="9" spans="1:4">
      <c r="D9" s="6">
        <v>8</v>
      </c>
    </row>
    <row r="10" spans="1:4">
      <c r="D10" s="6">
        <v>1</v>
      </c>
    </row>
    <row r="11" spans="1:4">
      <c r="D11" s="6">
        <v>4</v>
      </c>
    </row>
    <row r="12" spans="1:4">
      <c r="D12" s="6">
        <v>13</v>
      </c>
    </row>
    <row r="13" spans="1:4">
      <c r="D13" s="6">
        <v>16</v>
      </c>
    </row>
    <row r="14" spans="1:4">
      <c r="D14" s="6">
        <v>6</v>
      </c>
    </row>
    <row r="15" spans="1:4">
      <c r="D15" s="6">
        <v>5</v>
      </c>
    </row>
    <row r="16" spans="1:4">
      <c r="D16" s="6">
        <v>4</v>
      </c>
    </row>
    <row r="17" spans="4:4">
      <c r="D17" s="6">
        <v>5</v>
      </c>
    </row>
    <row r="18" spans="4:4">
      <c r="D18" s="6">
        <v>5</v>
      </c>
    </row>
    <row r="19" spans="4:4">
      <c r="D19" s="6">
        <v>2</v>
      </c>
    </row>
    <row r="20" spans="4:4">
      <c r="D20" s="6">
        <v>6</v>
      </c>
    </row>
    <row r="21" spans="4:4">
      <c r="D21" s="6">
        <v>10</v>
      </c>
    </row>
    <row r="22" spans="4:4">
      <c r="D22" s="6">
        <v>3</v>
      </c>
    </row>
    <row r="23" spans="4:4">
      <c r="D23" s="6">
        <v>12</v>
      </c>
    </row>
    <row r="24" spans="4:4">
      <c r="D24" s="6">
        <v>1</v>
      </c>
    </row>
    <row r="25" spans="4:4">
      <c r="D25" s="6">
        <v>3</v>
      </c>
    </row>
    <row r="26" spans="4:4">
      <c r="D26" s="6">
        <v>5</v>
      </c>
    </row>
    <row r="27" spans="4:4">
      <c r="D27" s="6">
        <v>5</v>
      </c>
    </row>
    <row r="28" spans="4:4">
      <c r="D28" s="6">
        <v>9</v>
      </c>
    </row>
    <row r="29" spans="4:4">
      <c r="D29" s="6">
        <v>5</v>
      </c>
    </row>
    <row r="30" spans="4:4">
      <c r="D30" s="6">
        <v>1</v>
      </c>
    </row>
    <row r="31" spans="4:4">
      <c r="D31" s="6">
        <v>2</v>
      </c>
    </row>
    <row r="32" spans="4:4">
      <c r="D32" s="6">
        <v>3</v>
      </c>
    </row>
    <row r="33" spans="4:4">
      <c r="D33" s="6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BE1B9-CD80-0341-AAB3-F925A721B95C}">
  <dimension ref="A1:G105"/>
  <sheetViews>
    <sheetView workbookViewId="0">
      <selection activeCell="J11" sqref="J11"/>
    </sheetView>
  </sheetViews>
  <sheetFormatPr baseColWidth="10" defaultRowHeight="16"/>
  <cols>
    <col min="2" max="2" width="17.83203125" customWidth="1"/>
    <col min="3" max="3" width="19.33203125" customWidth="1"/>
    <col min="4" max="4" width="18.83203125" customWidth="1"/>
    <col min="5" max="5" width="17.83203125" customWidth="1"/>
    <col min="6" max="6" width="16" customWidth="1"/>
    <col min="7" max="7" width="18" customWidth="1"/>
  </cols>
  <sheetData>
    <row r="1" spans="1:7">
      <c r="A1" t="s">
        <v>541</v>
      </c>
      <c r="B1" t="s">
        <v>542</v>
      </c>
      <c r="C1" t="s">
        <v>543</v>
      </c>
      <c r="D1" t="s">
        <v>544</v>
      </c>
      <c r="E1" t="s">
        <v>545</v>
      </c>
      <c r="F1" t="s">
        <v>546</v>
      </c>
      <c r="G1" t="s">
        <v>547</v>
      </c>
    </row>
    <row r="2" spans="1:7">
      <c r="A2">
        <v>1</v>
      </c>
      <c r="B2" t="s">
        <v>115</v>
      </c>
      <c r="C2" t="s">
        <v>152</v>
      </c>
      <c r="D2">
        <v>1</v>
      </c>
      <c r="E2">
        <v>1</v>
      </c>
      <c r="F2">
        <v>1</v>
      </c>
      <c r="G2">
        <v>0</v>
      </c>
    </row>
    <row r="3" spans="1:7">
      <c r="A3">
        <v>2</v>
      </c>
      <c r="B3" t="s">
        <v>116</v>
      </c>
      <c r="C3" t="s">
        <v>139</v>
      </c>
      <c r="D3">
        <v>1</v>
      </c>
      <c r="E3">
        <v>2</v>
      </c>
      <c r="F3">
        <v>1</v>
      </c>
      <c r="G3">
        <v>1</v>
      </c>
    </row>
    <row r="4" spans="1:7">
      <c r="A4">
        <v>3</v>
      </c>
      <c r="B4" t="s">
        <v>117</v>
      </c>
      <c r="C4" t="s">
        <v>538</v>
      </c>
      <c r="D4">
        <v>0</v>
      </c>
      <c r="E4">
        <v>0</v>
      </c>
      <c r="F4">
        <v>0</v>
      </c>
      <c r="G4">
        <v>0</v>
      </c>
    </row>
    <row r="5" spans="1:7">
      <c r="A5">
        <v>4</v>
      </c>
      <c r="B5" t="s">
        <v>118</v>
      </c>
      <c r="C5" t="s">
        <v>155</v>
      </c>
      <c r="D5">
        <v>4</v>
      </c>
      <c r="E5">
        <v>7</v>
      </c>
      <c r="F5">
        <v>1</v>
      </c>
      <c r="G5">
        <v>1.5</v>
      </c>
    </row>
    <row r="6" spans="1:7">
      <c r="A6">
        <v>5</v>
      </c>
      <c r="B6" t="s">
        <v>119</v>
      </c>
      <c r="C6" t="s">
        <v>140</v>
      </c>
      <c r="D6">
        <v>1</v>
      </c>
      <c r="E6">
        <v>1</v>
      </c>
      <c r="F6">
        <v>0</v>
      </c>
      <c r="G6">
        <v>1</v>
      </c>
    </row>
    <row r="7" spans="1:7">
      <c r="A7">
        <v>6</v>
      </c>
      <c r="B7" t="s">
        <v>120</v>
      </c>
      <c r="C7" t="s">
        <v>151</v>
      </c>
      <c r="D7">
        <v>2</v>
      </c>
      <c r="E7">
        <v>4</v>
      </c>
      <c r="F7">
        <v>2</v>
      </c>
      <c r="G7">
        <v>1</v>
      </c>
    </row>
    <row r="8" spans="1:7">
      <c r="A8">
        <v>7</v>
      </c>
      <c r="B8" t="s">
        <v>121</v>
      </c>
      <c r="C8" t="s">
        <v>142</v>
      </c>
      <c r="D8">
        <v>0</v>
      </c>
      <c r="E8">
        <v>0</v>
      </c>
      <c r="F8">
        <v>0</v>
      </c>
      <c r="G8">
        <v>0</v>
      </c>
    </row>
    <row r="9" spans="1:7">
      <c r="A9">
        <v>8</v>
      </c>
      <c r="B9" t="s">
        <v>122</v>
      </c>
      <c r="C9" t="s">
        <v>141</v>
      </c>
      <c r="D9">
        <v>0</v>
      </c>
      <c r="E9">
        <v>0</v>
      </c>
      <c r="F9">
        <v>0</v>
      </c>
      <c r="G9">
        <v>0</v>
      </c>
    </row>
    <row r="10" spans="1:7">
      <c r="A10">
        <v>9</v>
      </c>
      <c r="B10" t="s">
        <v>123</v>
      </c>
      <c r="C10" t="s">
        <v>153</v>
      </c>
      <c r="D10">
        <v>0</v>
      </c>
      <c r="E10">
        <v>0</v>
      </c>
      <c r="F10">
        <v>0</v>
      </c>
      <c r="G10">
        <v>0</v>
      </c>
    </row>
    <row r="11" spans="1:7">
      <c r="A11">
        <v>10</v>
      </c>
      <c r="B11" t="s">
        <v>124</v>
      </c>
      <c r="C11" t="s">
        <v>154</v>
      </c>
      <c r="D11">
        <v>1</v>
      </c>
      <c r="E11">
        <v>1</v>
      </c>
      <c r="F11">
        <v>0</v>
      </c>
      <c r="G11">
        <v>1</v>
      </c>
    </row>
    <row r="12" spans="1:7">
      <c r="A12">
        <v>11</v>
      </c>
      <c r="B12" t="s">
        <v>125</v>
      </c>
      <c r="C12" t="s">
        <v>143</v>
      </c>
      <c r="D12">
        <v>0</v>
      </c>
      <c r="E12">
        <v>0</v>
      </c>
      <c r="F12">
        <v>0</v>
      </c>
      <c r="G12">
        <v>0</v>
      </c>
    </row>
    <row r="13" spans="1:7">
      <c r="A13">
        <v>12</v>
      </c>
      <c r="B13" t="s">
        <v>126</v>
      </c>
      <c r="C13" t="s">
        <v>144</v>
      </c>
      <c r="D13">
        <v>0</v>
      </c>
      <c r="E13">
        <v>0</v>
      </c>
      <c r="F13">
        <v>0</v>
      </c>
      <c r="G13">
        <v>0</v>
      </c>
    </row>
    <row r="14" spans="1:7">
      <c r="A14">
        <v>13</v>
      </c>
      <c r="B14" t="s">
        <v>127</v>
      </c>
      <c r="C14" t="s">
        <v>158</v>
      </c>
      <c r="D14">
        <v>2</v>
      </c>
      <c r="E14">
        <v>4</v>
      </c>
      <c r="F14">
        <v>2</v>
      </c>
      <c r="G14">
        <v>1</v>
      </c>
    </row>
    <row r="15" spans="1:7">
      <c r="A15">
        <v>14</v>
      </c>
      <c r="B15" t="s">
        <v>128</v>
      </c>
      <c r="C15" t="s">
        <v>157</v>
      </c>
      <c r="D15">
        <v>0</v>
      </c>
      <c r="E15">
        <v>0</v>
      </c>
      <c r="F15">
        <v>0</v>
      </c>
      <c r="G15">
        <v>0</v>
      </c>
    </row>
    <row r="16" spans="1:7">
      <c r="A16">
        <v>15</v>
      </c>
      <c r="B16" t="s">
        <v>129</v>
      </c>
      <c r="C16" t="s">
        <v>145</v>
      </c>
      <c r="D16">
        <v>2</v>
      </c>
      <c r="E16">
        <v>1</v>
      </c>
      <c r="F16">
        <v>2</v>
      </c>
      <c r="G16">
        <v>-0.5</v>
      </c>
    </row>
    <row r="17" spans="1:7">
      <c r="A17">
        <v>16</v>
      </c>
      <c r="B17" t="s">
        <v>130</v>
      </c>
      <c r="C17" t="s">
        <v>146</v>
      </c>
      <c r="D17">
        <v>0</v>
      </c>
      <c r="E17">
        <v>0</v>
      </c>
      <c r="F17">
        <v>0</v>
      </c>
      <c r="G17">
        <v>0</v>
      </c>
    </row>
    <row r="18" spans="1:7">
      <c r="A18">
        <v>17</v>
      </c>
      <c r="B18" t="s">
        <v>131</v>
      </c>
      <c r="C18" t="s">
        <v>156</v>
      </c>
      <c r="D18">
        <v>1</v>
      </c>
      <c r="E18">
        <v>0</v>
      </c>
      <c r="F18">
        <v>1</v>
      </c>
      <c r="G18">
        <v>-1</v>
      </c>
    </row>
    <row r="19" spans="1:7">
      <c r="A19">
        <v>18</v>
      </c>
      <c r="B19" t="s">
        <v>132</v>
      </c>
      <c r="C19" t="s">
        <v>147</v>
      </c>
      <c r="D19">
        <v>0</v>
      </c>
      <c r="E19">
        <v>0</v>
      </c>
      <c r="F19">
        <v>0</v>
      </c>
      <c r="G19">
        <v>0</v>
      </c>
    </row>
    <row r="20" spans="1:7">
      <c r="A20">
        <v>19</v>
      </c>
      <c r="B20" t="s">
        <v>133</v>
      </c>
      <c r="C20" t="s">
        <v>161</v>
      </c>
      <c r="D20">
        <v>0</v>
      </c>
      <c r="E20">
        <v>0</v>
      </c>
      <c r="F20">
        <v>0</v>
      </c>
      <c r="G20">
        <v>0</v>
      </c>
    </row>
    <row r="21" spans="1:7">
      <c r="A21">
        <v>20</v>
      </c>
      <c r="B21" t="s">
        <v>134</v>
      </c>
      <c r="C21" t="s">
        <v>148</v>
      </c>
      <c r="D21">
        <v>0</v>
      </c>
      <c r="E21">
        <v>0</v>
      </c>
      <c r="F21">
        <v>0</v>
      </c>
      <c r="G21">
        <v>0</v>
      </c>
    </row>
    <row r="22" spans="1:7">
      <c r="A22">
        <v>21</v>
      </c>
      <c r="B22" t="s">
        <v>135</v>
      </c>
      <c r="C22" t="s">
        <v>160</v>
      </c>
      <c r="D22">
        <v>0</v>
      </c>
      <c r="E22">
        <v>0</v>
      </c>
      <c r="F22">
        <v>0</v>
      </c>
      <c r="G22">
        <v>0</v>
      </c>
    </row>
    <row r="23" spans="1:7">
      <c r="A23">
        <v>22</v>
      </c>
      <c r="B23" t="s">
        <v>136</v>
      </c>
      <c r="C23" t="s">
        <v>159</v>
      </c>
      <c r="D23">
        <v>9</v>
      </c>
      <c r="E23">
        <v>19</v>
      </c>
      <c r="F23">
        <v>12</v>
      </c>
      <c r="G23">
        <v>0.77800000000000002</v>
      </c>
    </row>
    <row r="24" spans="1:7">
      <c r="A24">
        <v>23</v>
      </c>
      <c r="B24" t="s">
        <v>137</v>
      </c>
      <c r="C24" t="s">
        <v>149</v>
      </c>
      <c r="D24">
        <v>0</v>
      </c>
      <c r="E24">
        <v>0</v>
      </c>
      <c r="F24">
        <v>0</v>
      </c>
      <c r="G24">
        <v>0</v>
      </c>
    </row>
    <row r="25" spans="1:7">
      <c r="A25">
        <v>24</v>
      </c>
      <c r="B25" t="s">
        <v>138</v>
      </c>
      <c r="C25" t="s">
        <v>150</v>
      </c>
      <c r="D25">
        <v>0</v>
      </c>
      <c r="E25">
        <v>0</v>
      </c>
      <c r="F25">
        <v>0</v>
      </c>
      <c r="G25">
        <v>0</v>
      </c>
    </row>
    <row r="26" spans="1:7">
      <c r="A26">
        <v>25</v>
      </c>
      <c r="B26" t="s">
        <v>139</v>
      </c>
      <c r="C26" t="s">
        <v>152</v>
      </c>
      <c r="D26">
        <v>0</v>
      </c>
      <c r="E26">
        <v>0</v>
      </c>
      <c r="F26">
        <v>0</v>
      </c>
      <c r="G26">
        <v>0</v>
      </c>
    </row>
    <row r="27" spans="1:7">
      <c r="A27">
        <v>26</v>
      </c>
      <c r="B27" t="s">
        <v>140</v>
      </c>
      <c r="C27" t="s">
        <v>538</v>
      </c>
      <c r="D27">
        <v>1</v>
      </c>
      <c r="E27">
        <v>0</v>
      </c>
      <c r="F27">
        <v>2</v>
      </c>
      <c r="G27">
        <v>-2</v>
      </c>
    </row>
    <row r="28" spans="1:7">
      <c r="A28">
        <v>27</v>
      </c>
      <c r="B28" t="s">
        <v>117</v>
      </c>
      <c r="C28" t="s">
        <v>119</v>
      </c>
      <c r="D28">
        <v>1</v>
      </c>
      <c r="E28">
        <v>2</v>
      </c>
      <c r="F28">
        <v>0</v>
      </c>
      <c r="G28">
        <v>2</v>
      </c>
    </row>
    <row r="29" spans="1:7">
      <c r="A29">
        <v>28</v>
      </c>
      <c r="B29" t="s">
        <v>115</v>
      </c>
      <c r="C29" t="s">
        <v>116</v>
      </c>
      <c r="D29">
        <v>6</v>
      </c>
      <c r="E29">
        <v>15</v>
      </c>
      <c r="F29">
        <v>8</v>
      </c>
      <c r="G29">
        <v>1.167</v>
      </c>
    </row>
    <row r="30" spans="1:7">
      <c r="A30">
        <v>29</v>
      </c>
      <c r="B30" t="s">
        <v>118</v>
      </c>
      <c r="C30" t="s">
        <v>121</v>
      </c>
      <c r="D30">
        <v>1</v>
      </c>
      <c r="E30">
        <v>2</v>
      </c>
      <c r="F30">
        <v>1</v>
      </c>
      <c r="G30">
        <v>1</v>
      </c>
    </row>
    <row r="31" spans="1:7">
      <c r="A31">
        <v>30</v>
      </c>
      <c r="B31" t="s">
        <v>141</v>
      </c>
      <c r="C31" t="s">
        <v>151</v>
      </c>
      <c r="D31">
        <v>1</v>
      </c>
      <c r="E31">
        <v>0</v>
      </c>
      <c r="F31">
        <v>3</v>
      </c>
      <c r="G31">
        <v>-3</v>
      </c>
    </row>
    <row r="32" spans="1:7">
      <c r="A32">
        <v>31</v>
      </c>
      <c r="B32" t="s">
        <v>142</v>
      </c>
      <c r="C32" t="s">
        <v>155</v>
      </c>
      <c r="D32">
        <v>0</v>
      </c>
      <c r="E32">
        <v>0</v>
      </c>
      <c r="F32">
        <v>0</v>
      </c>
      <c r="G32">
        <v>0</v>
      </c>
    </row>
    <row r="33" spans="1:7">
      <c r="A33">
        <v>32</v>
      </c>
      <c r="B33" t="s">
        <v>120</v>
      </c>
      <c r="C33" t="s">
        <v>122</v>
      </c>
      <c r="D33">
        <v>1</v>
      </c>
      <c r="E33">
        <v>7</v>
      </c>
      <c r="F33">
        <v>1</v>
      </c>
      <c r="G33">
        <v>6</v>
      </c>
    </row>
    <row r="34" spans="1:7">
      <c r="A34">
        <v>33</v>
      </c>
      <c r="B34" t="s">
        <v>124</v>
      </c>
      <c r="C34" t="s">
        <v>126</v>
      </c>
      <c r="D34">
        <v>6</v>
      </c>
      <c r="E34">
        <v>9</v>
      </c>
      <c r="F34">
        <v>5</v>
      </c>
      <c r="G34">
        <v>0.66700000000000004</v>
      </c>
    </row>
    <row r="35" spans="1:7">
      <c r="A35">
        <v>34</v>
      </c>
      <c r="B35" t="s">
        <v>123</v>
      </c>
      <c r="C35" t="s">
        <v>125</v>
      </c>
      <c r="D35">
        <v>0</v>
      </c>
      <c r="E35">
        <v>0</v>
      </c>
      <c r="F35">
        <v>0</v>
      </c>
      <c r="G35">
        <v>0</v>
      </c>
    </row>
    <row r="36" spans="1:7">
      <c r="A36">
        <v>35</v>
      </c>
      <c r="B36" t="s">
        <v>143</v>
      </c>
      <c r="C36" t="s">
        <v>153</v>
      </c>
      <c r="D36">
        <v>0</v>
      </c>
      <c r="E36">
        <v>0</v>
      </c>
      <c r="F36">
        <v>0</v>
      </c>
      <c r="G36">
        <v>0</v>
      </c>
    </row>
    <row r="37" spans="1:7">
      <c r="A37">
        <v>36</v>
      </c>
      <c r="B37" t="s">
        <v>144</v>
      </c>
      <c r="C37" t="s">
        <v>154</v>
      </c>
      <c r="D37">
        <v>3</v>
      </c>
      <c r="E37">
        <v>0</v>
      </c>
      <c r="F37">
        <v>6</v>
      </c>
      <c r="G37">
        <v>-2</v>
      </c>
    </row>
    <row r="38" spans="1:7">
      <c r="A38">
        <v>37</v>
      </c>
      <c r="B38" t="s">
        <v>128</v>
      </c>
      <c r="C38" t="s">
        <v>129</v>
      </c>
      <c r="D38">
        <v>1</v>
      </c>
      <c r="E38">
        <v>1</v>
      </c>
      <c r="F38">
        <v>0</v>
      </c>
      <c r="G38">
        <v>1</v>
      </c>
    </row>
    <row r="39" spans="1:7">
      <c r="A39">
        <v>38</v>
      </c>
      <c r="B39" t="s">
        <v>127</v>
      </c>
      <c r="C39" t="s">
        <v>130</v>
      </c>
      <c r="D39">
        <v>0</v>
      </c>
      <c r="E39">
        <v>0</v>
      </c>
      <c r="F39">
        <v>0</v>
      </c>
      <c r="G39">
        <v>0</v>
      </c>
    </row>
    <row r="40" spans="1:7">
      <c r="A40">
        <v>39</v>
      </c>
      <c r="B40" t="s">
        <v>145</v>
      </c>
      <c r="C40" t="s">
        <v>157</v>
      </c>
      <c r="D40">
        <v>0</v>
      </c>
      <c r="E40">
        <v>0</v>
      </c>
      <c r="F40">
        <v>0</v>
      </c>
      <c r="G40">
        <v>0</v>
      </c>
    </row>
    <row r="41" spans="1:7">
      <c r="A41">
        <v>40</v>
      </c>
      <c r="B41" t="s">
        <v>146</v>
      </c>
      <c r="C41" t="s">
        <v>158</v>
      </c>
      <c r="D41">
        <v>0</v>
      </c>
      <c r="E41">
        <v>0</v>
      </c>
      <c r="F41">
        <v>0</v>
      </c>
      <c r="G41">
        <v>0</v>
      </c>
    </row>
    <row r="42" spans="1:7">
      <c r="A42">
        <v>41</v>
      </c>
      <c r="B42" t="s">
        <v>133</v>
      </c>
      <c r="C42" t="s">
        <v>134</v>
      </c>
      <c r="D42">
        <v>0</v>
      </c>
      <c r="E42">
        <v>0</v>
      </c>
      <c r="F42">
        <v>0</v>
      </c>
      <c r="G42">
        <v>0</v>
      </c>
    </row>
    <row r="43" spans="1:7">
      <c r="A43">
        <v>42</v>
      </c>
      <c r="B43" t="s">
        <v>131</v>
      </c>
      <c r="C43" t="s">
        <v>132</v>
      </c>
      <c r="D43">
        <v>0</v>
      </c>
      <c r="E43">
        <v>0</v>
      </c>
      <c r="F43">
        <v>0</v>
      </c>
      <c r="G43">
        <v>0</v>
      </c>
    </row>
    <row r="44" spans="1:7">
      <c r="A44">
        <v>43</v>
      </c>
      <c r="B44" t="s">
        <v>147</v>
      </c>
      <c r="C44" t="s">
        <v>156</v>
      </c>
      <c r="D44">
        <v>0</v>
      </c>
      <c r="E44">
        <v>0</v>
      </c>
      <c r="F44">
        <v>0</v>
      </c>
      <c r="G44">
        <v>0</v>
      </c>
    </row>
    <row r="45" spans="1:7">
      <c r="A45">
        <v>44</v>
      </c>
      <c r="B45" t="s">
        <v>148</v>
      </c>
      <c r="C45" t="s">
        <v>161</v>
      </c>
      <c r="D45">
        <v>0</v>
      </c>
      <c r="E45">
        <v>0</v>
      </c>
      <c r="F45">
        <v>0</v>
      </c>
      <c r="G45">
        <v>0</v>
      </c>
    </row>
    <row r="46" spans="1:7">
      <c r="A46">
        <v>45</v>
      </c>
      <c r="B46" t="s">
        <v>135</v>
      </c>
      <c r="C46" t="s">
        <v>138</v>
      </c>
      <c r="D46">
        <v>0</v>
      </c>
      <c r="E46">
        <v>0</v>
      </c>
      <c r="F46">
        <v>0</v>
      </c>
      <c r="G46">
        <v>0</v>
      </c>
    </row>
    <row r="47" spans="1:7">
      <c r="A47">
        <v>46</v>
      </c>
      <c r="B47" t="s">
        <v>136</v>
      </c>
      <c r="C47" t="s">
        <v>137</v>
      </c>
      <c r="D47">
        <v>0</v>
      </c>
      <c r="E47">
        <v>0</v>
      </c>
      <c r="F47">
        <v>0</v>
      </c>
      <c r="G47">
        <v>0</v>
      </c>
    </row>
    <row r="48" spans="1:7">
      <c r="A48">
        <v>47</v>
      </c>
      <c r="B48" t="s">
        <v>149</v>
      </c>
      <c r="C48" t="s">
        <v>159</v>
      </c>
      <c r="D48">
        <v>0</v>
      </c>
      <c r="E48">
        <v>0</v>
      </c>
      <c r="F48">
        <v>0</v>
      </c>
      <c r="G48">
        <v>0</v>
      </c>
    </row>
    <row r="49" spans="1:7">
      <c r="A49">
        <v>48</v>
      </c>
      <c r="B49" t="s">
        <v>150</v>
      </c>
      <c r="C49" t="s">
        <v>160</v>
      </c>
      <c r="D49">
        <v>0</v>
      </c>
      <c r="E49">
        <v>0</v>
      </c>
      <c r="F49">
        <v>0</v>
      </c>
      <c r="G49">
        <v>0</v>
      </c>
    </row>
    <row r="50" spans="1:7">
      <c r="A50">
        <v>49</v>
      </c>
      <c r="B50" t="s">
        <v>140</v>
      </c>
      <c r="C50" t="s">
        <v>117</v>
      </c>
      <c r="D50">
        <v>0</v>
      </c>
      <c r="E50">
        <v>0</v>
      </c>
      <c r="F50">
        <v>0</v>
      </c>
      <c r="G50">
        <v>0</v>
      </c>
    </row>
    <row r="51" spans="1:7">
      <c r="A51">
        <v>50</v>
      </c>
      <c r="B51" t="s">
        <v>538</v>
      </c>
      <c r="C51" t="s">
        <v>119</v>
      </c>
      <c r="D51">
        <v>0</v>
      </c>
      <c r="E51">
        <v>0</v>
      </c>
      <c r="F51">
        <v>0</v>
      </c>
      <c r="G51">
        <v>0</v>
      </c>
    </row>
    <row r="52" spans="1:7">
      <c r="A52">
        <v>51</v>
      </c>
      <c r="B52" t="s">
        <v>141</v>
      </c>
      <c r="C52" t="s">
        <v>120</v>
      </c>
      <c r="D52">
        <v>4</v>
      </c>
      <c r="E52">
        <v>2</v>
      </c>
      <c r="F52">
        <v>7</v>
      </c>
      <c r="G52">
        <v>-1.25</v>
      </c>
    </row>
    <row r="53" spans="1:7">
      <c r="A53">
        <v>52</v>
      </c>
      <c r="B53" t="s">
        <v>151</v>
      </c>
      <c r="C53" t="s">
        <v>122</v>
      </c>
      <c r="D53">
        <v>0</v>
      </c>
      <c r="E53">
        <v>0</v>
      </c>
      <c r="F53">
        <v>0</v>
      </c>
      <c r="G53">
        <v>0</v>
      </c>
    </row>
    <row r="54" spans="1:7">
      <c r="A54">
        <v>53</v>
      </c>
      <c r="B54" t="s">
        <v>152</v>
      </c>
      <c r="C54" t="s">
        <v>116</v>
      </c>
      <c r="D54">
        <v>0</v>
      </c>
      <c r="E54">
        <v>0</v>
      </c>
      <c r="F54">
        <v>0</v>
      </c>
      <c r="G54">
        <v>0</v>
      </c>
    </row>
    <row r="55" spans="1:7">
      <c r="A55">
        <v>54</v>
      </c>
      <c r="B55" t="s">
        <v>139</v>
      </c>
      <c r="C55" t="s">
        <v>115</v>
      </c>
      <c r="D55">
        <v>0</v>
      </c>
      <c r="E55">
        <v>0</v>
      </c>
      <c r="F55">
        <v>0</v>
      </c>
      <c r="G55">
        <v>0</v>
      </c>
    </row>
    <row r="56" spans="1:7">
      <c r="A56">
        <v>55</v>
      </c>
      <c r="B56" t="s">
        <v>153</v>
      </c>
      <c r="C56" t="s">
        <v>125</v>
      </c>
      <c r="D56">
        <v>0</v>
      </c>
      <c r="E56">
        <v>0</v>
      </c>
      <c r="F56">
        <v>0</v>
      </c>
      <c r="G56">
        <v>0</v>
      </c>
    </row>
    <row r="57" spans="1:7">
      <c r="A57">
        <v>56</v>
      </c>
      <c r="B57" t="s">
        <v>143</v>
      </c>
      <c r="C57" t="s">
        <v>123</v>
      </c>
      <c r="D57">
        <v>1</v>
      </c>
      <c r="E57">
        <v>0</v>
      </c>
      <c r="F57">
        <v>3</v>
      </c>
      <c r="G57">
        <v>-3</v>
      </c>
    </row>
    <row r="58" spans="1:7">
      <c r="A58">
        <v>57</v>
      </c>
      <c r="B58" t="s">
        <v>144</v>
      </c>
      <c r="C58" t="s">
        <v>124</v>
      </c>
      <c r="D58">
        <v>3</v>
      </c>
      <c r="E58">
        <v>3</v>
      </c>
      <c r="F58">
        <v>7</v>
      </c>
      <c r="G58">
        <v>-1.333</v>
      </c>
    </row>
    <row r="59" spans="1:7">
      <c r="A59">
        <v>58</v>
      </c>
      <c r="B59" t="s">
        <v>154</v>
      </c>
      <c r="C59" t="s">
        <v>126</v>
      </c>
      <c r="D59">
        <v>4</v>
      </c>
      <c r="E59">
        <v>4</v>
      </c>
      <c r="F59">
        <v>5</v>
      </c>
      <c r="G59">
        <v>-0.25</v>
      </c>
    </row>
    <row r="60" spans="1:7">
      <c r="A60">
        <v>59</v>
      </c>
      <c r="B60" t="s">
        <v>142</v>
      </c>
      <c r="C60" t="s">
        <v>118</v>
      </c>
      <c r="D60">
        <v>3</v>
      </c>
      <c r="E60">
        <v>5</v>
      </c>
      <c r="F60">
        <v>4</v>
      </c>
      <c r="G60">
        <v>0.33300000000000002</v>
      </c>
    </row>
    <row r="61" spans="1:7">
      <c r="A61">
        <v>60</v>
      </c>
      <c r="B61" t="s">
        <v>155</v>
      </c>
      <c r="C61" t="s">
        <v>121</v>
      </c>
      <c r="D61">
        <v>0</v>
      </c>
      <c r="E61">
        <v>0</v>
      </c>
      <c r="F61">
        <v>0</v>
      </c>
      <c r="G61">
        <v>0</v>
      </c>
    </row>
    <row r="62" spans="1:7">
      <c r="A62">
        <v>61</v>
      </c>
      <c r="B62" t="s">
        <v>147</v>
      </c>
      <c r="C62" t="s">
        <v>131</v>
      </c>
      <c r="D62">
        <v>1</v>
      </c>
      <c r="E62">
        <v>0</v>
      </c>
      <c r="F62">
        <v>4</v>
      </c>
      <c r="G62">
        <v>-4</v>
      </c>
    </row>
    <row r="63" spans="1:7">
      <c r="A63">
        <v>62</v>
      </c>
      <c r="B63" t="s">
        <v>156</v>
      </c>
      <c r="C63" t="s">
        <v>132</v>
      </c>
      <c r="D63">
        <v>0</v>
      </c>
      <c r="E63">
        <v>0</v>
      </c>
      <c r="F63">
        <v>0</v>
      </c>
      <c r="G63">
        <v>0</v>
      </c>
    </row>
    <row r="64" spans="1:7">
      <c r="A64">
        <v>63</v>
      </c>
      <c r="B64" t="s">
        <v>145</v>
      </c>
      <c r="C64" t="s">
        <v>128</v>
      </c>
      <c r="D64">
        <v>3</v>
      </c>
      <c r="E64">
        <v>3</v>
      </c>
      <c r="F64">
        <v>4</v>
      </c>
      <c r="G64">
        <v>-0.33300000000000002</v>
      </c>
    </row>
    <row r="65" spans="1:7">
      <c r="A65">
        <v>64</v>
      </c>
      <c r="B65" t="s">
        <v>157</v>
      </c>
      <c r="C65" t="s">
        <v>129</v>
      </c>
      <c r="D65">
        <v>0</v>
      </c>
      <c r="E65">
        <v>0</v>
      </c>
      <c r="F65">
        <v>0</v>
      </c>
      <c r="G65">
        <v>0</v>
      </c>
    </row>
    <row r="66" spans="1:7">
      <c r="A66">
        <v>65</v>
      </c>
      <c r="B66" t="s">
        <v>158</v>
      </c>
      <c r="C66" t="s">
        <v>130</v>
      </c>
      <c r="D66">
        <v>0</v>
      </c>
      <c r="E66">
        <v>0</v>
      </c>
      <c r="F66">
        <v>0</v>
      </c>
      <c r="G66">
        <v>0</v>
      </c>
    </row>
    <row r="67" spans="1:7">
      <c r="A67">
        <v>66</v>
      </c>
      <c r="B67" t="s">
        <v>146</v>
      </c>
      <c r="C67" t="s">
        <v>127</v>
      </c>
      <c r="D67">
        <v>0</v>
      </c>
      <c r="E67">
        <v>0</v>
      </c>
      <c r="F67">
        <v>0</v>
      </c>
      <c r="G67">
        <v>0</v>
      </c>
    </row>
    <row r="68" spans="1:7">
      <c r="A68">
        <v>67</v>
      </c>
      <c r="B68" t="s">
        <v>159</v>
      </c>
      <c r="C68" t="s">
        <v>137</v>
      </c>
      <c r="D68">
        <v>0</v>
      </c>
      <c r="E68">
        <v>0</v>
      </c>
      <c r="F68">
        <v>0</v>
      </c>
      <c r="G68">
        <v>0</v>
      </c>
    </row>
    <row r="69" spans="1:7">
      <c r="A69">
        <v>68</v>
      </c>
      <c r="B69" t="s">
        <v>149</v>
      </c>
      <c r="C69" t="s">
        <v>136</v>
      </c>
      <c r="D69">
        <v>1</v>
      </c>
      <c r="E69">
        <v>1</v>
      </c>
      <c r="F69">
        <v>6</v>
      </c>
      <c r="G69">
        <v>-5</v>
      </c>
    </row>
    <row r="70" spans="1:7">
      <c r="A70">
        <v>69</v>
      </c>
      <c r="B70" t="s">
        <v>160</v>
      </c>
      <c r="C70" t="s">
        <v>138</v>
      </c>
      <c r="D70">
        <v>0</v>
      </c>
      <c r="E70">
        <v>0</v>
      </c>
      <c r="F70">
        <v>0</v>
      </c>
      <c r="G70">
        <v>0</v>
      </c>
    </row>
    <row r="71" spans="1:7">
      <c r="A71">
        <v>70</v>
      </c>
      <c r="B71" t="s">
        <v>150</v>
      </c>
      <c r="C71" t="s">
        <v>135</v>
      </c>
      <c r="D71">
        <v>0</v>
      </c>
      <c r="E71">
        <v>0</v>
      </c>
      <c r="F71">
        <v>0</v>
      </c>
      <c r="G71">
        <v>0</v>
      </c>
    </row>
    <row r="72" spans="1:7">
      <c r="A72">
        <v>71</v>
      </c>
      <c r="B72" t="s">
        <v>148</v>
      </c>
      <c r="C72" t="s">
        <v>133</v>
      </c>
      <c r="D72">
        <v>0</v>
      </c>
      <c r="E72">
        <v>0</v>
      </c>
      <c r="F72">
        <v>0</v>
      </c>
      <c r="G72">
        <v>0</v>
      </c>
    </row>
    <row r="73" spans="1:7">
      <c r="A73">
        <v>72</v>
      </c>
      <c r="B73" t="s">
        <v>161</v>
      </c>
      <c r="C73" t="s">
        <v>134</v>
      </c>
      <c r="D73">
        <v>1</v>
      </c>
      <c r="E73">
        <v>0</v>
      </c>
      <c r="F73">
        <v>2</v>
      </c>
      <c r="G73">
        <v>-2</v>
      </c>
    </row>
    <row r="74" spans="1:7">
      <c r="A74">
        <v>73</v>
      </c>
      <c r="B74" t="s">
        <v>152</v>
      </c>
      <c r="C74" t="s">
        <v>117</v>
      </c>
      <c r="D74">
        <v>0</v>
      </c>
      <c r="E74">
        <v>0</v>
      </c>
      <c r="F74">
        <v>0</v>
      </c>
      <c r="G74">
        <v>0</v>
      </c>
    </row>
    <row r="75" spans="1:7">
      <c r="A75">
        <v>74</v>
      </c>
      <c r="B75" t="s">
        <v>120</v>
      </c>
      <c r="C75" t="s">
        <v>154</v>
      </c>
      <c r="D75">
        <v>9</v>
      </c>
      <c r="E75">
        <v>23</v>
      </c>
      <c r="F75">
        <v>7</v>
      </c>
      <c r="G75">
        <v>1.778</v>
      </c>
    </row>
    <row r="76" spans="1:7">
      <c r="A76">
        <v>75</v>
      </c>
      <c r="B76" t="s">
        <v>123</v>
      </c>
      <c r="C76" t="s">
        <v>155</v>
      </c>
      <c r="D76">
        <v>1</v>
      </c>
      <c r="E76">
        <v>1</v>
      </c>
      <c r="F76">
        <v>0</v>
      </c>
      <c r="G76">
        <v>1</v>
      </c>
    </row>
    <row r="77" spans="1:7">
      <c r="A77">
        <v>76</v>
      </c>
      <c r="B77" t="s">
        <v>124</v>
      </c>
      <c r="C77" t="s">
        <v>151</v>
      </c>
      <c r="D77">
        <v>2</v>
      </c>
      <c r="E77">
        <v>4</v>
      </c>
      <c r="F77">
        <v>2</v>
      </c>
      <c r="G77">
        <v>1</v>
      </c>
    </row>
    <row r="78" spans="1:7">
      <c r="A78">
        <v>77</v>
      </c>
      <c r="B78" t="s">
        <v>125</v>
      </c>
      <c r="C78" t="s">
        <v>147</v>
      </c>
      <c r="D78">
        <v>0</v>
      </c>
      <c r="E78">
        <v>0</v>
      </c>
      <c r="F78">
        <v>0</v>
      </c>
      <c r="G78">
        <v>0</v>
      </c>
    </row>
    <row r="79" spans="1:7">
      <c r="A79">
        <v>78</v>
      </c>
      <c r="B79" t="s">
        <v>131</v>
      </c>
      <c r="C79" t="s">
        <v>126</v>
      </c>
      <c r="D79">
        <v>6</v>
      </c>
      <c r="E79">
        <v>9</v>
      </c>
      <c r="F79">
        <v>7</v>
      </c>
      <c r="G79">
        <v>0.33300000000000002</v>
      </c>
    </row>
    <row r="80" spans="1:7">
      <c r="A80">
        <v>79</v>
      </c>
      <c r="B80" t="s">
        <v>115</v>
      </c>
      <c r="C80" t="s">
        <v>548</v>
      </c>
      <c r="D80">
        <v>9</v>
      </c>
      <c r="E80">
        <v>13</v>
      </c>
      <c r="F80">
        <v>10</v>
      </c>
      <c r="G80">
        <v>0.33300000000000002</v>
      </c>
    </row>
    <row r="81" spans="1:7">
      <c r="A81">
        <v>80</v>
      </c>
      <c r="B81" t="s">
        <v>136</v>
      </c>
      <c r="C81" t="s">
        <v>160</v>
      </c>
      <c r="D81">
        <v>0</v>
      </c>
      <c r="E81">
        <v>0</v>
      </c>
      <c r="F81">
        <v>0</v>
      </c>
      <c r="G81">
        <v>0</v>
      </c>
    </row>
    <row r="82" spans="1:7">
      <c r="A82">
        <v>81</v>
      </c>
      <c r="B82" t="s">
        <v>127</v>
      </c>
      <c r="C82" t="s">
        <v>156</v>
      </c>
      <c r="D82">
        <v>0</v>
      </c>
      <c r="E82">
        <v>0</v>
      </c>
      <c r="F82">
        <v>0</v>
      </c>
      <c r="G82">
        <v>0</v>
      </c>
    </row>
    <row r="83" spans="1:7">
      <c r="A83">
        <v>82</v>
      </c>
      <c r="B83" t="s">
        <v>118</v>
      </c>
      <c r="C83" t="s">
        <v>538</v>
      </c>
      <c r="D83">
        <v>2</v>
      </c>
      <c r="E83">
        <v>1</v>
      </c>
      <c r="F83">
        <v>0</v>
      </c>
      <c r="G83">
        <v>0.5</v>
      </c>
    </row>
    <row r="84" spans="1:7">
      <c r="A84">
        <v>83</v>
      </c>
      <c r="B84" t="s">
        <v>128</v>
      </c>
      <c r="C84" t="s">
        <v>134</v>
      </c>
      <c r="D84">
        <v>3</v>
      </c>
      <c r="E84">
        <v>6</v>
      </c>
      <c r="F84">
        <v>3</v>
      </c>
      <c r="G84">
        <v>1</v>
      </c>
    </row>
    <row r="85" spans="1:7">
      <c r="A85">
        <v>84</v>
      </c>
      <c r="B85" t="s">
        <v>135</v>
      </c>
      <c r="C85" t="s">
        <v>159</v>
      </c>
      <c r="D85">
        <v>7</v>
      </c>
      <c r="E85">
        <v>13</v>
      </c>
      <c r="F85">
        <v>8</v>
      </c>
      <c r="G85">
        <v>0.71399999999999997</v>
      </c>
    </row>
    <row r="86" spans="1:7">
      <c r="A86">
        <v>85</v>
      </c>
      <c r="B86" t="s">
        <v>140</v>
      </c>
      <c r="C86" t="s">
        <v>161</v>
      </c>
      <c r="D86">
        <v>0</v>
      </c>
      <c r="E86">
        <v>0</v>
      </c>
      <c r="F86">
        <v>0</v>
      </c>
      <c r="G86">
        <v>0</v>
      </c>
    </row>
    <row r="87" spans="1:7">
      <c r="A87">
        <v>86</v>
      </c>
      <c r="B87" t="s">
        <v>121</v>
      </c>
      <c r="C87" t="s">
        <v>158</v>
      </c>
      <c r="D87">
        <v>0</v>
      </c>
      <c r="E87">
        <v>0</v>
      </c>
      <c r="F87">
        <v>0</v>
      </c>
      <c r="G87">
        <v>0</v>
      </c>
    </row>
    <row r="88" spans="1:7">
      <c r="A88">
        <v>87</v>
      </c>
      <c r="B88" t="s">
        <v>133</v>
      </c>
      <c r="C88" t="s">
        <v>157</v>
      </c>
      <c r="D88">
        <v>0</v>
      </c>
      <c r="E88">
        <v>0</v>
      </c>
      <c r="F88">
        <v>0</v>
      </c>
      <c r="G88">
        <v>0</v>
      </c>
    </row>
    <row r="89" spans="1:7">
      <c r="A89">
        <v>88</v>
      </c>
      <c r="B89" t="s">
        <v>150</v>
      </c>
      <c r="C89" t="s">
        <v>137</v>
      </c>
      <c r="D89">
        <v>0</v>
      </c>
      <c r="E89">
        <v>0</v>
      </c>
      <c r="F89">
        <v>0</v>
      </c>
      <c r="G89">
        <v>0</v>
      </c>
    </row>
    <row r="90" spans="1:7">
      <c r="A90">
        <v>89</v>
      </c>
      <c r="B90" t="s">
        <v>117</v>
      </c>
      <c r="C90" t="s">
        <v>151</v>
      </c>
      <c r="D90">
        <v>2</v>
      </c>
      <c r="E90">
        <v>1</v>
      </c>
      <c r="F90">
        <v>6</v>
      </c>
      <c r="G90">
        <v>-2.5</v>
      </c>
    </row>
    <row r="91" spans="1:7">
      <c r="A91">
        <v>90</v>
      </c>
      <c r="B91" t="s">
        <v>155</v>
      </c>
      <c r="C91" t="s">
        <v>131</v>
      </c>
      <c r="D91">
        <v>4</v>
      </c>
      <c r="E91">
        <v>4</v>
      </c>
      <c r="F91">
        <v>14</v>
      </c>
      <c r="G91">
        <v>-2.5</v>
      </c>
    </row>
    <row r="92" spans="1:7">
      <c r="A92">
        <v>91</v>
      </c>
      <c r="B92" t="s">
        <v>120</v>
      </c>
      <c r="C92" t="s">
        <v>147</v>
      </c>
      <c r="D92">
        <v>1</v>
      </c>
      <c r="E92">
        <v>1</v>
      </c>
      <c r="F92">
        <v>2</v>
      </c>
      <c r="G92">
        <v>-1</v>
      </c>
    </row>
    <row r="93" spans="1:7">
      <c r="A93">
        <v>92</v>
      </c>
      <c r="B93" t="s">
        <v>115</v>
      </c>
      <c r="C93" t="s">
        <v>136</v>
      </c>
      <c r="D93">
        <v>1</v>
      </c>
      <c r="E93">
        <v>0</v>
      </c>
      <c r="F93">
        <v>2</v>
      </c>
      <c r="G93">
        <v>-2</v>
      </c>
    </row>
    <row r="94" spans="1:7">
      <c r="A94">
        <v>93</v>
      </c>
      <c r="B94" t="s">
        <v>135</v>
      </c>
      <c r="C94" t="s">
        <v>128</v>
      </c>
      <c r="D94">
        <v>10</v>
      </c>
      <c r="E94">
        <v>11</v>
      </c>
      <c r="F94">
        <v>8</v>
      </c>
      <c r="G94">
        <v>0.3</v>
      </c>
    </row>
    <row r="95" spans="1:7">
      <c r="A95">
        <v>94</v>
      </c>
      <c r="B95" t="s">
        <v>118</v>
      </c>
      <c r="C95" t="s">
        <v>127</v>
      </c>
      <c r="D95">
        <v>3</v>
      </c>
      <c r="E95">
        <v>6</v>
      </c>
      <c r="F95">
        <v>7</v>
      </c>
      <c r="G95">
        <v>-0.33300000000000002</v>
      </c>
    </row>
    <row r="96" spans="1:7">
      <c r="A96">
        <v>95</v>
      </c>
      <c r="B96" t="s">
        <v>133</v>
      </c>
      <c r="C96" t="s">
        <v>158</v>
      </c>
      <c r="D96">
        <v>0</v>
      </c>
      <c r="E96">
        <v>0</v>
      </c>
      <c r="F96">
        <v>0</v>
      </c>
      <c r="G96">
        <v>0</v>
      </c>
    </row>
    <row r="97" spans="1:7">
      <c r="A97">
        <v>96</v>
      </c>
      <c r="B97" t="s">
        <v>140</v>
      </c>
      <c r="C97" t="s">
        <v>150</v>
      </c>
      <c r="D97">
        <v>1</v>
      </c>
      <c r="E97">
        <v>0</v>
      </c>
      <c r="F97">
        <v>2</v>
      </c>
      <c r="G97">
        <v>-2</v>
      </c>
    </row>
    <row r="98" spans="1:7">
      <c r="A98">
        <v>97</v>
      </c>
      <c r="B98" t="s">
        <v>131</v>
      </c>
      <c r="C98" t="s">
        <v>151</v>
      </c>
      <c r="D98">
        <v>1</v>
      </c>
      <c r="E98">
        <v>2</v>
      </c>
      <c r="F98">
        <v>0</v>
      </c>
      <c r="G98">
        <v>2</v>
      </c>
    </row>
    <row r="99" spans="1:7">
      <c r="A99">
        <v>98</v>
      </c>
      <c r="B99" t="s">
        <v>128</v>
      </c>
      <c r="C99" t="s">
        <v>127</v>
      </c>
      <c r="D99">
        <v>7</v>
      </c>
      <c r="E99">
        <v>16</v>
      </c>
      <c r="F99">
        <v>3</v>
      </c>
      <c r="G99">
        <v>1.857</v>
      </c>
    </row>
    <row r="100" spans="1:7">
      <c r="A100">
        <v>99</v>
      </c>
      <c r="B100" t="s">
        <v>147</v>
      </c>
      <c r="C100" t="s">
        <v>136</v>
      </c>
      <c r="D100">
        <v>1</v>
      </c>
      <c r="E100">
        <v>0</v>
      </c>
      <c r="F100">
        <v>1</v>
      </c>
      <c r="G100">
        <v>-1</v>
      </c>
    </row>
    <row r="101" spans="1:7">
      <c r="A101">
        <v>100</v>
      </c>
      <c r="B101" t="s">
        <v>133</v>
      </c>
      <c r="C101" t="s">
        <v>140</v>
      </c>
      <c r="D101">
        <v>2</v>
      </c>
      <c r="E101">
        <v>3</v>
      </c>
      <c r="F101">
        <v>0</v>
      </c>
      <c r="G101">
        <v>1.5</v>
      </c>
    </row>
    <row r="102" spans="1:7">
      <c r="A102">
        <v>101</v>
      </c>
      <c r="B102" t="s">
        <v>131</v>
      </c>
      <c r="C102" t="s">
        <v>128</v>
      </c>
      <c r="D102">
        <v>10</v>
      </c>
      <c r="E102">
        <v>14</v>
      </c>
      <c r="F102">
        <v>16</v>
      </c>
      <c r="G102">
        <v>-0.2</v>
      </c>
    </row>
    <row r="103" spans="1:7">
      <c r="A103">
        <v>102</v>
      </c>
      <c r="B103" t="s">
        <v>136</v>
      </c>
      <c r="C103" t="s">
        <v>133</v>
      </c>
      <c r="D103">
        <v>5</v>
      </c>
      <c r="E103">
        <v>8</v>
      </c>
      <c r="F103">
        <v>5</v>
      </c>
      <c r="G103">
        <v>0.6</v>
      </c>
    </row>
    <row r="104" spans="1:7">
      <c r="A104">
        <v>103</v>
      </c>
      <c r="B104" t="s">
        <v>131</v>
      </c>
      <c r="C104" t="s">
        <v>136</v>
      </c>
      <c r="D104">
        <v>7</v>
      </c>
      <c r="E104">
        <v>9</v>
      </c>
      <c r="F104">
        <v>12</v>
      </c>
      <c r="G104">
        <v>-0.42899999999999999</v>
      </c>
    </row>
    <row r="105" spans="1:7">
      <c r="A105">
        <v>104</v>
      </c>
      <c r="B105" t="s">
        <v>128</v>
      </c>
      <c r="C105" t="s">
        <v>133</v>
      </c>
      <c r="D105">
        <v>2</v>
      </c>
      <c r="E105">
        <v>7</v>
      </c>
      <c r="F105">
        <v>3</v>
      </c>
      <c r="G105">
        <v>2</v>
      </c>
    </row>
  </sheetData>
  <autoFilter ref="A1:G1" xr:uid="{9D9BE1B9-CD80-0341-AAB3-F925A721B95C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A6D21-38DA-4245-8378-F6A8BACF6960}">
  <dimension ref="A1:E105"/>
  <sheetViews>
    <sheetView topLeftCell="C1" workbookViewId="0">
      <selection activeCell="E7" sqref="E7"/>
    </sheetView>
  </sheetViews>
  <sheetFormatPr baseColWidth="10" defaultRowHeight="16"/>
  <cols>
    <col min="2" max="2" width="19.6640625" customWidth="1"/>
  </cols>
  <sheetData>
    <row r="1" spans="1:4">
      <c r="A1" t="s">
        <v>346</v>
      </c>
      <c r="B1" t="s">
        <v>2</v>
      </c>
      <c r="C1" t="s">
        <v>9</v>
      </c>
      <c r="D1" t="s">
        <v>10</v>
      </c>
    </row>
    <row r="2" spans="1:4">
      <c r="A2">
        <v>1</v>
      </c>
      <c r="B2" t="s">
        <v>108</v>
      </c>
      <c r="C2" t="s">
        <v>347</v>
      </c>
      <c r="D2" t="s">
        <v>347</v>
      </c>
    </row>
    <row r="3" spans="1:4">
      <c r="A3">
        <v>2</v>
      </c>
      <c r="B3" t="s">
        <v>108</v>
      </c>
      <c r="C3" t="s">
        <v>348</v>
      </c>
      <c r="D3" t="s">
        <v>348</v>
      </c>
    </row>
    <row r="4" spans="1:4">
      <c r="A4">
        <v>3</v>
      </c>
      <c r="B4" t="s">
        <v>108</v>
      </c>
      <c r="C4" t="s">
        <v>347</v>
      </c>
      <c r="D4" t="s">
        <v>347</v>
      </c>
    </row>
    <row r="5" spans="1:4">
      <c r="A5">
        <v>4</v>
      </c>
      <c r="B5" t="s">
        <v>108</v>
      </c>
      <c r="C5" t="s">
        <v>348</v>
      </c>
      <c r="D5" t="s">
        <v>348</v>
      </c>
    </row>
    <row r="6" spans="1:4">
      <c r="A6">
        <v>5</v>
      </c>
      <c r="B6" t="s">
        <v>108</v>
      </c>
      <c r="C6" t="s">
        <v>347</v>
      </c>
      <c r="D6" t="s">
        <v>347</v>
      </c>
    </row>
    <row r="7" spans="1:4">
      <c r="A7">
        <v>6</v>
      </c>
      <c r="B7" t="s">
        <v>108</v>
      </c>
      <c r="C7" t="s">
        <v>348</v>
      </c>
      <c r="D7" t="s">
        <v>348</v>
      </c>
    </row>
    <row r="8" spans="1:4">
      <c r="A8">
        <v>7</v>
      </c>
      <c r="B8" t="s">
        <v>108</v>
      </c>
      <c r="C8" t="s">
        <v>348</v>
      </c>
      <c r="D8" t="s">
        <v>348</v>
      </c>
    </row>
    <row r="9" spans="1:4">
      <c r="A9">
        <v>8</v>
      </c>
      <c r="B9" t="s">
        <v>108</v>
      </c>
      <c r="C9" t="s">
        <v>348</v>
      </c>
      <c r="D9" t="s">
        <v>347</v>
      </c>
    </row>
    <row r="10" spans="1:4">
      <c r="A10">
        <v>9</v>
      </c>
      <c r="B10" t="s">
        <v>108</v>
      </c>
      <c r="C10" t="s">
        <v>348</v>
      </c>
      <c r="D10" t="s">
        <v>348</v>
      </c>
    </row>
    <row r="11" spans="1:4">
      <c r="A11">
        <v>10</v>
      </c>
      <c r="B11" t="s">
        <v>108</v>
      </c>
      <c r="C11" t="s">
        <v>348</v>
      </c>
      <c r="D11" t="s">
        <v>348</v>
      </c>
    </row>
    <row r="12" spans="1:4">
      <c r="A12">
        <v>11</v>
      </c>
      <c r="B12" t="s">
        <v>108</v>
      </c>
      <c r="C12" t="s">
        <v>348</v>
      </c>
      <c r="D12" t="s">
        <v>348</v>
      </c>
    </row>
    <row r="13" spans="1:4">
      <c r="A13">
        <v>12</v>
      </c>
      <c r="B13" t="s">
        <v>108</v>
      </c>
      <c r="C13" t="s">
        <v>348</v>
      </c>
      <c r="D13" t="s">
        <v>348</v>
      </c>
    </row>
    <row r="14" spans="1:4">
      <c r="A14">
        <v>13</v>
      </c>
      <c r="B14" t="s">
        <v>108</v>
      </c>
      <c r="C14" t="s">
        <v>348</v>
      </c>
      <c r="D14" t="s">
        <v>348</v>
      </c>
    </row>
    <row r="15" spans="1:4">
      <c r="A15">
        <v>14</v>
      </c>
      <c r="B15" t="s">
        <v>108</v>
      </c>
      <c r="C15" t="s">
        <v>348</v>
      </c>
      <c r="D15" t="s">
        <v>348</v>
      </c>
    </row>
    <row r="16" spans="1:4">
      <c r="A16">
        <v>15</v>
      </c>
      <c r="B16" t="s">
        <v>108</v>
      </c>
      <c r="C16" t="s">
        <v>348</v>
      </c>
      <c r="D16" t="s">
        <v>348</v>
      </c>
    </row>
    <row r="17" spans="1:5">
      <c r="A17">
        <v>16</v>
      </c>
      <c r="B17" t="s">
        <v>108</v>
      </c>
      <c r="C17" t="s">
        <v>348</v>
      </c>
      <c r="D17" t="s">
        <v>348</v>
      </c>
    </row>
    <row r="18" spans="1:5">
      <c r="A18">
        <v>17</v>
      </c>
      <c r="B18" t="s">
        <v>108</v>
      </c>
      <c r="C18" t="s">
        <v>348</v>
      </c>
      <c r="D18" t="s">
        <v>348</v>
      </c>
    </row>
    <row r="19" spans="1:5">
      <c r="A19">
        <v>18</v>
      </c>
      <c r="B19" t="s">
        <v>108</v>
      </c>
      <c r="C19" t="s">
        <v>348</v>
      </c>
      <c r="D19" t="s">
        <v>348</v>
      </c>
    </row>
    <row r="20" spans="1:5">
      <c r="A20">
        <v>19</v>
      </c>
      <c r="B20" t="s">
        <v>108</v>
      </c>
      <c r="C20" t="s">
        <v>347</v>
      </c>
      <c r="D20" t="s">
        <v>347</v>
      </c>
    </row>
    <row r="21" spans="1:5" ht="18">
      <c r="A21">
        <v>20</v>
      </c>
      <c r="B21" t="s">
        <v>108</v>
      </c>
      <c r="C21" t="s">
        <v>348</v>
      </c>
      <c r="D21" t="s">
        <v>348</v>
      </c>
      <c r="E21" s="12">
        <f>COUNTIF(C2:C105,"Test")</f>
        <v>21</v>
      </c>
    </row>
    <row r="22" spans="1:5">
      <c r="A22">
        <v>21</v>
      </c>
      <c r="B22" t="s">
        <v>108</v>
      </c>
      <c r="C22" t="s">
        <v>348</v>
      </c>
      <c r="D22" t="s">
        <v>348</v>
      </c>
    </row>
    <row r="23" spans="1:5">
      <c r="A23">
        <v>22</v>
      </c>
      <c r="B23" t="s">
        <v>108</v>
      </c>
      <c r="C23" t="s">
        <v>347</v>
      </c>
      <c r="D23" t="s">
        <v>347</v>
      </c>
    </row>
    <row r="24" spans="1:5" ht="18">
      <c r="A24">
        <v>23</v>
      </c>
      <c r="B24" t="s">
        <v>108</v>
      </c>
      <c r="C24" t="s">
        <v>348</v>
      </c>
      <c r="D24" t="s">
        <v>348</v>
      </c>
      <c r="E24" s="12">
        <f>COUNTIF(D2:D105,"Test")</f>
        <v>31</v>
      </c>
    </row>
    <row r="25" spans="1:5">
      <c r="A25">
        <v>24</v>
      </c>
      <c r="B25" t="s">
        <v>108</v>
      </c>
      <c r="C25" t="s">
        <v>348</v>
      </c>
      <c r="D25" t="s">
        <v>348</v>
      </c>
    </row>
    <row r="26" spans="1:5">
      <c r="A26">
        <v>25</v>
      </c>
      <c r="B26" t="s">
        <v>108</v>
      </c>
      <c r="C26" t="s">
        <v>347</v>
      </c>
      <c r="D26" t="s">
        <v>347</v>
      </c>
    </row>
    <row r="27" spans="1:5">
      <c r="A27">
        <v>26</v>
      </c>
      <c r="B27" t="s">
        <v>108</v>
      </c>
      <c r="C27" t="s">
        <v>347</v>
      </c>
      <c r="D27" t="s">
        <v>347</v>
      </c>
    </row>
    <row r="28" spans="1:5">
      <c r="A28">
        <v>27</v>
      </c>
      <c r="B28" t="s">
        <v>108</v>
      </c>
      <c r="C28" t="s">
        <v>348</v>
      </c>
      <c r="D28" t="s">
        <v>347</v>
      </c>
    </row>
    <row r="29" spans="1:5">
      <c r="A29">
        <v>28</v>
      </c>
      <c r="B29" t="s">
        <v>108</v>
      </c>
      <c r="C29" t="s">
        <v>347</v>
      </c>
      <c r="D29" t="s">
        <v>347</v>
      </c>
    </row>
    <row r="30" spans="1:5">
      <c r="A30">
        <v>29</v>
      </c>
      <c r="B30" t="s">
        <v>108</v>
      </c>
      <c r="C30" t="s">
        <v>347</v>
      </c>
      <c r="D30" t="s">
        <v>347</v>
      </c>
    </row>
    <row r="31" spans="1:5">
      <c r="A31">
        <v>30</v>
      </c>
      <c r="B31" t="s">
        <v>108</v>
      </c>
      <c r="C31" t="s">
        <v>348</v>
      </c>
      <c r="D31" t="s">
        <v>348</v>
      </c>
    </row>
    <row r="32" spans="1:5">
      <c r="A32">
        <v>31</v>
      </c>
      <c r="B32" t="s">
        <v>108</v>
      </c>
      <c r="C32" t="s">
        <v>348</v>
      </c>
      <c r="D32" t="s">
        <v>348</v>
      </c>
    </row>
    <row r="33" spans="1:4">
      <c r="A33">
        <v>32</v>
      </c>
      <c r="B33" t="s">
        <v>108</v>
      </c>
      <c r="C33" t="s">
        <v>348</v>
      </c>
      <c r="D33" t="s">
        <v>348</v>
      </c>
    </row>
    <row r="34" spans="1:4">
      <c r="A34">
        <v>33</v>
      </c>
      <c r="B34" t="s">
        <v>108</v>
      </c>
      <c r="C34" t="s">
        <v>348</v>
      </c>
      <c r="D34" t="s">
        <v>348</v>
      </c>
    </row>
    <row r="35" spans="1:4">
      <c r="A35">
        <v>34</v>
      </c>
      <c r="B35" t="s">
        <v>108</v>
      </c>
      <c r="C35" t="s">
        <v>347</v>
      </c>
      <c r="D35" t="s">
        <v>347</v>
      </c>
    </row>
    <row r="36" spans="1:4">
      <c r="A36">
        <v>35</v>
      </c>
      <c r="B36" t="s">
        <v>108</v>
      </c>
      <c r="C36" t="s">
        <v>348</v>
      </c>
      <c r="D36" t="s">
        <v>348</v>
      </c>
    </row>
    <row r="37" spans="1:4">
      <c r="A37">
        <v>36</v>
      </c>
      <c r="B37" t="s">
        <v>108</v>
      </c>
      <c r="C37" t="s">
        <v>348</v>
      </c>
      <c r="D37" t="s">
        <v>348</v>
      </c>
    </row>
    <row r="38" spans="1:4">
      <c r="A38">
        <v>37</v>
      </c>
      <c r="B38" t="s">
        <v>108</v>
      </c>
      <c r="C38" t="s">
        <v>348</v>
      </c>
      <c r="D38" t="s">
        <v>348</v>
      </c>
    </row>
    <row r="39" spans="1:4">
      <c r="A39">
        <v>38</v>
      </c>
      <c r="B39" t="s">
        <v>108</v>
      </c>
      <c r="C39" t="s">
        <v>348</v>
      </c>
      <c r="D39" t="s">
        <v>347</v>
      </c>
    </row>
    <row r="40" spans="1:4">
      <c r="A40">
        <v>39</v>
      </c>
      <c r="B40" t="s">
        <v>108</v>
      </c>
      <c r="C40" t="s">
        <v>348</v>
      </c>
      <c r="D40" t="s">
        <v>347</v>
      </c>
    </row>
    <row r="41" spans="1:4">
      <c r="A41">
        <v>40</v>
      </c>
      <c r="B41" t="s">
        <v>108</v>
      </c>
      <c r="C41" t="s">
        <v>348</v>
      </c>
      <c r="D41" t="s">
        <v>348</v>
      </c>
    </row>
    <row r="42" spans="1:4">
      <c r="A42">
        <v>41</v>
      </c>
      <c r="B42" t="s">
        <v>108</v>
      </c>
      <c r="C42" t="s">
        <v>348</v>
      </c>
      <c r="D42" t="s">
        <v>348</v>
      </c>
    </row>
    <row r="43" spans="1:4">
      <c r="A43">
        <v>42</v>
      </c>
      <c r="B43" t="s">
        <v>108</v>
      </c>
      <c r="C43" t="s">
        <v>348</v>
      </c>
      <c r="D43" t="s">
        <v>348</v>
      </c>
    </row>
    <row r="44" spans="1:4">
      <c r="A44">
        <v>43</v>
      </c>
      <c r="B44" t="s">
        <v>108</v>
      </c>
      <c r="C44" t="s">
        <v>348</v>
      </c>
      <c r="D44" t="s">
        <v>348</v>
      </c>
    </row>
    <row r="45" spans="1:4">
      <c r="A45">
        <v>44</v>
      </c>
      <c r="B45" t="s">
        <v>108</v>
      </c>
      <c r="C45" t="s">
        <v>348</v>
      </c>
      <c r="D45" t="s">
        <v>348</v>
      </c>
    </row>
    <row r="46" spans="1:4">
      <c r="A46">
        <v>45</v>
      </c>
      <c r="B46" t="s">
        <v>108</v>
      </c>
      <c r="C46" t="s">
        <v>348</v>
      </c>
      <c r="D46" t="s">
        <v>348</v>
      </c>
    </row>
    <row r="47" spans="1:4">
      <c r="A47">
        <v>46</v>
      </c>
      <c r="B47" t="s">
        <v>108</v>
      </c>
      <c r="C47" t="s">
        <v>347</v>
      </c>
      <c r="D47" t="s">
        <v>347</v>
      </c>
    </row>
    <row r="48" spans="1:4">
      <c r="A48">
        <v>47</v>
      </c>
      <c r="B48" t="s">
        <v>108</v>
      </c>
      <c r="C48" t="s">
        <v>348</v>
      </c>
      <c r="D48" t="s">
        <v>347</v>
      </c>
    </row>
    <row r="49" spans="1:4">
      <c r="A49">
        <v>48</v>
      </c>
      <c r="B49" t="s">
        <v>108</v>
      </c>
      <c r="C49" t="s">
        <v>348</v>
      </c>
      <c r="D49" t="s">
        <v>348</v>
      </c>
    </row>
    <row r="50" spans="1:4">
      <c r="A50">
        <v>49</v>
      </c>
      <c r="B50" t="s">
        <v>108</v>
      </c>
      <c r="C50" t="s">
        <v>348</v>
      </c>
      <c r="D50" t="s">
        <v>348</v>
      </c>
    </row>
    <row r="51" spans="1:4">
      <c r="A51">
        <v>50</v>
      </c>
      <c r="B51" t="s">
        <v>108</v>
      </c>
      <c r="C51" t="s">
        <v>348</v>
      </c>
      <c r="D51" t="s">
        <v>348</v>
      </c>
    </row>
    <row r="52" spans="1:4">
      <c r="A52">
        <v>51</v>
      </c>
      <c r="B52" t="s">
        <v>108</v>
      </c>
      <c r="C52" t="s">
        <v>348</v>
      </c>
      <c r="D52" t="s">
        <v>348</v>
      </c>
    </row>
    <row r="53" spans="1:4">
      <c r="A53">
        <v>52</v>
      </c>
      <c r="B53" t="s">
        <v>108</v>
      </c>
      <c r="C53" t="s">
        <v>348</v>
      </c>
      <c r="D53" t="s">
        <v>348</v>
      </c>
    </row>
    <row r="54" spans="1:4">
      <c r="A54">
        <v>53</v>
      </c>
      <c r="B54" t="s">
        <v>108</v>
      </c>
      <c r="C54" t="s">
        <v>348</v>
      </c>
      <c r="D54" t="s">
        <v>347</v>
      </c>
    </row>
    <row r="55" spans="1:4">
      <c r="A55">
        <v>54</v>
      </c>
      <c r="B55" t="s">
        <v>108</v>
      </c>
      <c r="C55" t="s">
        <v>348</v>
      </c>
      <c r="D55" t="s">
        <v>348</v>
      </c>
    </row>
    <row r="56" spans="1:4">
      <c r="A56">
        <v>55</v>
      </c>
      <c r="B56" t="s">
        <v>108</v>
      </c>
      <c r="C56" t="s">
        <v>348</v>
      </c>
      <c r="D56" t="s">
        <v>348</v>
      </c>
    </row>
    <row r="57" spans="1:4">
      <c r="A57">
        <v>56</v>
      </c>
      <c r="B57" t="s">
        <v>108</v>
      </c>
      <c r="C57" t="s">
        <v>347</v>
      </c>
      <c r="D57" t="s">
        <v>347</v>
      </c>
    </row>
    <row r="58" spans="1:4">
      <c r="A58">
        <v>57</v>
      </c>
      <c r="B58" t="s">
        <v>108</v>
      </c>
      <c r="C58" t="s">
        <v>347</v>
      </c>
      <c r="D58" t="s">
        <v>347</v>
      </c>
    </row>
    <row r="59" spans="1:4">
      <c r="A59">
        <v>58</v>
      </c>
      <c r="B59" t="s">
        <v>108</v>
      </c>
      <c r="C59" t="s">
        <v>348</v>
      </c>
      <c r="D59" t="s">
        <v>348</v>
      </c>
    </row>
    <row r="60" spans="1:4">
      <c r="A60">
        <v>59</v>
      </c>
      <c r="B60" t="s">
        <v>108</v>
      </c>
      <c r="C60" t="s">
        <v>348</v>
      </c>
      <c r="D60" t="s">
        <v>348</v>
      </c>
    </row>
    <row r="61" spans="1:4">
      <c r="A61">
        <v>60</v>
      </c>
      <c r="B61" t="s">
        <v>108</v>
      </c>
      <c r="C61" t="s">
        <v>348</v>
      </c>
      <c r="D61" t="s">
        <v>348</v>
      </c>
    </row>
    <row r="62" spans="1:4">
      <c r="A62">
        <v>61</v>
      </c>
      <c r="B62" t="s">
        <v>108</v>
      </c>
      <c r="C62" t="s">
        <v>348</v>
      </c>
      <c r="D62" t="s">
        <v>348</v>
      </c>
    </row>
    <row r="63" spans="1:4">
      <c r="A63">
        <v>62</v>
      </c>
      <c r="B63" t="s">
        <v>108</v>
      </c>
      <c r="C63" t="s">
        <v>348</v>
      </c>
      <c r="D63" t="s">
        <v>347</v>
      </c>
    </row>
    <row r="64" spans="1:4">
      <c r="A64">
        <v>63</v>
      </c>
      <c r="B64" t="s">
        <v>108</v>
      </c>
      <c r="C64" t="s">
        <v>348</v>
      </c>
      <c r="D64" t="s">
        <v>348</v>
      </c>
    </row>
    <row r="65" spans="1:4">
      <c r="A65">
        <v>64</v>
      </c>
      <c r="B65" t="s">
        <v>108</v>
      </c>
      <c r="C65" t="s">
        <v>348</v>
      </c>
      <c r="D65" t="s">
        <v>347</v>
      </c>
    </row>
    <row r="66" spans="1:4">
      <c r="A66">
        <v>65</v>
      </c>
      <c r="B66" t="s">
        <v>108</v>
      </c>
      <c r="C66" t="s">
        <v>348</v>
      </c>
      <c r="D66" t="s">
        <v>348</v>
      </c>
    </row>
    <row r="67" spans="1:4">
      <c r="A67">
        <v>66</v>
      </c>
      <c r="B67" t="s">
        <v>108</v>
      </c>
      <c r="C67" t="s">
        <v>348</v>
      </c>
      <c r="D67" t="s">
        <v>348</v>
      </c>
    </row>
    <row r="68" spans="1:4">
      <c r="A68">
        <v>67</v>
      </c>
      <c r="B68" t="s">
        <v>108</v>
      </c>
      <c r="C68" t="s">
        <v>348</v>
      </c>
      <c r="D68" t="s">
        <v>348</v>
      </c>
    </row>
    <row r="69" spans="1:4">
      <c r="A69">
        <v>68</v>
      </c>
      <c r="B69" t="s">
        <v>108</v>
      </c>
      <c r="C69" t="s">
        <v>348</v>
      </c>
      <c r="D69" t="s">
        <v>348</v>
      </c>
    </row>
    <row r="70" spans="1:4">
      <c r="A70">
        <v>69</v>
      </c>
      <c r="B70" t="s">
        <v>108</v>
      </c>
      <c r="C70" t="s">
        <v>347</v>
      </c>
      <c r="D70" t="s">
        <v>347</v>
      </c>
    </row>
    <row r="71" spans="1:4">
      <c r="A71">
        <v>70</v>
      </c>
      <c r="B71" t="s">
        <v>108</v>
      </c>
      <c r="C71" t="s">
        <v>348</v>
      </c>
      <c r="D71" t="s">
        <v>348</v>
      </c>
    </row>
    <row r="72" spans="1:4">
      <c r="A72">
        <v>71</v>
      </c>
      <c r="B72" t="s">
        <v>108</v>
      </c>
      <c r="C72" t="s">
        <v>348</v>
      </c>
      <c r="D72" t="s">
        <v>348</v>
      </c>
    </row>
    <row r="73" spans="1:4">
      <c r="A73">
        <v>72</v>
      </c>
      <c r="B73" t="s">
        <v>108</v>
      </c>
      <c r="C73" t="s">
        <v>348</v>
      </c>
      <c r="D73" t="s">
        <v>348</v>
      </c>
    </row>
    <row r="74" spans="1:4">
      <c r="A74">
        <v>73</v>
      </c>
      <c r="B74" t="s">
        <v>109</v>
      </c>
      <c r="C74" t="s">
        <v>348</v>
      </c>
      <c r="D74" t="s">
        <v>348</v>
      </c>
    </row>
    <row r="75" spans="1:4">
      <c r="A75">
        <v>74</v>
      </c>
      <c r="B75" t="s">
        <v>109</v>
      </c>
      <c r="C75" t="s">
        <v>347</v>
      </c>
      <c r="D75" t="s">
        <v>347</v>
      </c>
    </row>
    <row r="76" spans="1:4">
      <c r="A76">
        <v>75</v>
      </c>
      <c r="B76" t="s">
        <v>109</v>
      </c>
      <c r="C76" t="s">
        <v>348</v>
      </c>
      <c r="D76" t="s">
        <v>348</v>
      </c>
    </row>
    <row r="77" spans="1:4">
      <c r="A77">
        <v>76</v>
      </c>
      <c r="B77" t="s">
        <v>109</v>
      </c>
      <c r="C77" t="s">
        <v>348</v>
      </c>
      <c r="D77" t="s">
        <v>348</v>
      </c>
    </row>
    <row r="78" spans="1:4">
      <c r="A78">
        <v>77</v>
      </c>
      <c r="B78" t="s">
        <v>109</v>
      </c>
      <c r="C78" t="s">
        <v>348</v>
      </c>
      <c r="D78" t="s">
        <v>348</v>
      </c>
    </row>
    <row r="79" spans="1:4">
      <c r="A79">
        <v>78</v>
      </c>
      <c r="B79" t="s">
        <v>109</v>
      </c>
      <c r="C79" t="s">
        <v>348</v>
      </c>
      <c r="D79" t="s">
        <v>348</v>
      </c>
    </row>
    <row r="80" spans="1:4">
      <c r="A80">
        <v>79</v>
      </c>
      <c r="B80" t="s">
        <v>109</v>
      </c>
      <c r="C80" t="s">
        <v>348</v>
      </c>
      <c r="D80" t="s">
        <v>348</v>
      </c>
    </row>
    <row r="81" spans="1:4">
      <c r="A81">
        <v>80</v>
      </c>
      <c r="B81" t="s">
        <v>109</v>
      </c>
      <c r="C81" t="s">
        <v>348</v>
      </c>
      <c r="D81" t="s">
        <v>348</v>
      </c>
    </row>
    <row r="82" spans="1:4">
      <c r="A82">
        <v>81</v>
      </c>
      <c r="B82" t="s">
        <v>109</v>
      </c>
      <c r="C82" t="s">
        <v>348</v>
      </c>
      <c r="D82" t="s">
        <v>348</v>
      </c>
    </row>
    <row r="83" spans="1:4">
      <c r="A83">
        <v>82</v>
      </c>
      <c r="B83" t="s">
        <v>109</v>
      </c>
      <c r="C83" t="s">
        <v>348</v>
      </c>
      <c r="D83" t="s">
        <v>347</v>
      </c>
    </row>
    <row r="84" spans="1:4">
      <c r="A84">
        <v>83</v>
      </c>
      <c r="B84" t="s">
        <v>109</v>
      </c>
      <c r="C84" t="s">
        <v>347</v>
      </c>
      <c r="D84" t="s">
        <v>347</v>
      </c>
    </row>
    <row r="85" spans="1:4">
      <c r="A85">
        <v>84</v>
      </c>
      <c r="B85" t="s">
        <v>109</v>
      </c>
      <c r="C85" t="s">
        <v>347</v>
      </c>
      <c r="D85" t="s">
        <v>347</v>
      </c>
    </row>
    <row r="86" spans="1:4">
      <c r="A86">
        <v>85</v>
      </c>
      <c r="B86" t="s">
        <v>109</v>
      </c>
      <c r="C86" t="s">
        <v>347</v>
      </c>
      <c r="D86" t="s">
        <v>347</v>
      </c>
    </row>
    <row r="87" spans="1:4">
      <c r="A87">
        <v>86</v>
      </c>
      <c r="B87" t="s">
        <v>109</v>
      </c>
      <c r="C87" t="s">
        <v>348</v>
      </c>
      <c r="D87" t="s">
        <v>348</v>
      </c>
    </row>
    <row r="88" spans="1:4">
      <c r="A88">
        <v>87</v>
      </c>
      <c r="B88" t="s">
        <v>109</v>
      </c>
      <c r="C88" t="s">
        <v>348</v>
      </c>
      <c r="D88" t="s">
        <v>348</v>
      </c>
    </row>
    <row r="89" spans="1:4">
      <c r="A89">
        <v>88</v>
      </c>
      <c r="B89" t="s">
        <v>109</v>
      </c>
      <c r="C89" t="s">
        <v>348</v>
      </c>
      <c r="D89" t="s">
        <v>348</v>
      </c>
    </row>
    <row r="90" spans="1:4">
      <c r="A90">
        <v>89</v>
      </c>
      <c r="B90" t="s">
        <v>110</v>
      </c>
      <c r="C90" t="s">
        <v>348</v>
      </c>
      <c r="D90" t="s">
        <v>348</v>
      </c>
    </row>
    <row r="91" spans="1:4">
      <c r="A91">
        <v>90</v>
      </c>
      <c r="B91" t="s">
        <v>110</v>
      </c>
      <c r="C91" t="s">
        <v>348</v>
      </c>
      <c r="D91" t="s">
        <v>348</v>
      </c>
    </row>
    <row r="92" spans="1:4">
      <c r="A92">
        <v>91</v>
      </c>
      <c r="B92" t="s">
        <v>110</v>
      </c>
      <c r="C92" t="s">
        <v>348</v>
      </c>
      <c r="D92" t="s">
        <v>348</v>
      </c>
    </row>
    <row r="93" spans="1:4">
      <c r="A93">
        <v>92</v>
      </c>
      <c r="B93" t="s">
        <v>110</v>
      </c>
      <c r="C93" t="s">
        <v>348</v>
      </c>
      <c r="D93" t="s">
        <v>348</v>
      </c>
    </row>
    <row r="94" spans="1:4">
      <c r="A94">
        <v>93</v>
      </c>
      <c r="B94" t="s">
        <v>110</v>
      </c>
      <c r="C94" t="s">
        <v>348</v>
      </c>
      <c r="D94" t="s">
        <v>348</v>
      </c>
    </row>
    <row r="95" spans="1:4">
      <c r="A95">
        <v>94</v>
      </c>
      <c r="B95" t="s">
        <v>110</v>
      </c>
      <c r="C95" t="s">
        <v>348</v>
      </c>
      <c r="D95" t="s">
        <v>348</v>
      </c>
    </row>
    <row r="96" spans="1:4">
      <c r="A96">
        <v>95</v>
      </c>
      <c r="B96" t="s">
        <v>110</v>
      </c>
      <c r="C96" t="s">
        <v>348</v>
      </c>
      <c r="D96" t="s">
        <v>348</v>
      </c>
    </row>
    <row r="97" spans="1:4">
      <c r="A97">
        <v>96</v>
      </c>
      <c r="B97" t="s">
        <v>110</v>
      </c>
      <c r="C97" t="s">
        <v>347</v>
      </c>
      <c r="D97" t="s">
        <v>347</v>
      </c>
    </row>
    <row r="98" spans="1:4">
      <c r="A98">
        <v>97</v>
      </c>
      <c r="B98" t="s">
        <v>111</v>
      </c>
      <c r="C98" t="s">
        <v>348</v>
      </c>
      <c r="D98" t="s">
        <v>348</v>
      </c>
    </row>
    <row r="99" spans="1:4">
      <c r="A99">
        <v>98</v>
      </c>
      <c r="B99" t="s">
        <v>111</v>
      </c>
      <c r="C99" t="s">
        <v>348</v>
      </c>
      <c r="D99" t="s">
        <v>348</v>
      </c>
    </row>
    <row r="100" spans="1:4">
      <c r="A100">
        <v>99</v>
      </c>
      <c r="B100" t="s">
        <v>111</v>
      </c>
      <c r="C100" t="s">
        <v>348</v>
      </c>
      <c r="D100" t="s">
        <v>348</v>
      </c>
    </row>
    <row r="101" spans="1:4">
      <c r="A101">
        <v>100</v>
      </c>
      <c r="B101" t="s">
        <v>111</v>
      </c>
      <c r="C101" t="s">
        <v>348</v>
      </c>
      <c r="D101" t="s">
        <v>348</v>
      </c>
    </row>
    <row r="102" spans="1:4">
      <c r="A102">
        <v>101</v>
      </c>
      <c r="B102" t="s">
        <v>112</v>
      </c>
      <c r="C102" t="s">
        <v>348</v>
      </c>
      <c r="D102" t="s">
        <v>347</v>
      </c>
    </row>
    <row r="103" spans="1:4">
      <c r="A103">
        <v>102</v>
      </c>
      <c r="B103" t="s">
        <v>112</v>
      </c>
      <c r="C103" t="s">
        <v>347</v>
      </c>
      <c r="D103" t="s">
        <v>347</v>
      </c>
    </row>
    <row r="104" spans="1:4">
      <c r="A104">
        <v>103</v>
      </c>
      <c r="B104" t="s">
        <v>113</v>
      </c>
      <c r="C104" t="s">
        <v>348</v>
      </c>
      <c r="D104" t="s">
        <v>348</v>
      </c>
    </row>
    <row r="105" spans="1:4">
      <c r="A105">
        <v>104</v>
      </c>
      <c r="B105" t="s">
        <v>114</v>
      </c>
      <c r="C105" t="s">
        <v>347</v>
      </c>
      <c r="D105" t="s">
        <v>347</v>
      </c>
    </row>
  </sheetData>
  <autoFilter ref="A1:E1" xr:uid="{EF9A6D21-38DA-4245-8378-F6A8BACF696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E3B3B-6FF6-344E-B5C4-14B84CF223EB}">
  <dimension ref="A1:U34"/>
  <sheetViews>
    <sheetView workbookViewId="0">
      <selection activeCell="I2" sqref="I2"/>
    </sheetView>
  </sheetViews>
  <sheetFormatPr baseColWidth="10" defaultColWidth="8.83203125" defaultRowHeight="16"/>
  <cols>
    <col min="1" max="1" width="13.33203125" bestFit="1" customWidth="1"/>
    <col min="2" max="2" width="3.6640625" bestFit="1" customWidth="1"/>
    <col min="3" max="4" width="4.5" bestFit="1" customWidth="1"/>
    <col min="5" max="5" width="3.1640625" bestFit="1" customWidth="1"/>
    <col min="6" max="6" width="5.1640625" bestFit="1" customWidth="1"/>
    <col min="7" max="8" width="3.6640625" bestFit="1" customWidth="1"/>
    <col min="9" max="10" width="3.5" bestFit="1" customWidth="1"/>
    <col min="11" max="11" width="4" bestFit="1" customWidth="1"/>
    <col min="12" max="12" width="4.5" bestFit="1" customWidth="1"/>
    <col min="13" max="13" width="3" bestFit="1" customWidth="1"/>
    <col min="14" max="14" width="4.83203125" bestFit="1" customWidth="1"/>
    <col min="15" max="15" width="4.33203125" bestFit="1" customWidth="1"/>
    <col min="16" max="20" width="4.5" bestFit="1" customWidth="1"/>
    <col min="21" max="21" width="6.33203125" bestFit="1" customWidth="1"/>
  </cols>
  <sheetData>
    <row r="1" spans="1:21" ht="14" customHeight="1">
      <c r="A1" s="16"/>
      <c r="B1" s="16"/>
      <c r="C1" s="16"/>
      <c r="D1" s="17"/>
      <c r="E1" s="18" t="s">
        <v>319</v>
      </c>
      <c r="F1" s="19"/>
      <c r="G1" s="19"/>
      <c r="H1" s="19"/>
      <c r="I1" s="19" t="s">
        <v>320</v>
      </c>
      <c r="J1" s="19"/>
      <c r="K1" s="19"/>
      <c r="L1" s="19"/>
      <c r="M1" s="19"/>
      <c r="N1" s="19"/>
      <c r="O1" s="19"/>
      <c r="P1" s="19"/>
      <c r="Q1" s="19" t="s">
        <v>321</v>
      </c>
      <c r="R1" s="19"/>
      <c r="S1" s="19"/>
      <c r="T1" s="19"/>
      <c r="U1" s="19"/>
    </row>
    <row r="2" spans="1:21">
      <c r="A2" s="7" t="s">
        <v>322</v>
      </c>
      <c r="B2" s="7" t="s">
        <v>323</v>
      </c>
      <c r="C2" s="7" t="s">
        <v>324</v>
      </c>
      <c r="D2" s="7" t="s">
        <v>325</v>
      </c>
      <c r="E2" s="7" t="s">
        <v>326</v>
      </c>
      <c r="F2" s="7" t="s">
        <v>327</v>
      </c>
      <c r="G2" s="7" t="s">
        <v>328</v>
      </c>
      <c r="H2" s="7" t="s">
        <v>329</v>
      </c>
      <c r="I2" s="7" t="s">
        <v>330</v>
      </c>
      <c r="J2" s="7" t="s">
        <v>331</v>
      </c>
      <c r="K2" s="7" t="s">
        <v>332</v>
      </c>
      <c r="L2" s="7" t="s">
        <v>333</v>
      </c>
      <c r="M2" s="7" t="s">
        <v>334</v>
      </c>
      <c r="N2" s="7" t="s">
        <v>335</v>
      </c>
      <c r="O2" s="7" t="s">
        <v>336</v>
      </c>
      <c r="P2" s="7" t="s">
        <v>337</v>
      </c>
      <c r="Q2" s="7" t="s">
        <v>330</v>
      </c>
      <c r="R2" s="7" t="s">
        <v>331</v>
      </c>
      <c r="S2" s="7" t="s">
        <v>332</v>
      </c>
      <c r="T2" s="7" t="s">
        <v>333</v>
      </c>
      <c r="U2" s="7" t="s">
        <v>338</v>
      </c>
    </row>
    <row r="3" spans="1:21">
      <c r="A3" s="7" t="s">
        <v>107</v>
      </c>
      <c r="B3" s="6">
        <v>24</v>
      </c>
      <c r="C3" s="6">
        <v>27.5</v>
      </c>
      <c r="D3" s="6">
        <v>57.4</v>
      </c>
      <c r="E3" s="6">
        <v>7</v>
      </c>
      <c r="F3" s="6">
        <v>77</v>
      </c>
      <c r="G3" s="6">
        <v>690</v>
      </c>
      <c r="H3" s="6">
        <v>7.7</v>
      </c>
      <c r="I3" s="6">
        <v>15</v>
      </c>
      <c r="J3" s="6">
        <v>8</v>
      </c>
      <c r="K3" s="6">
        <v>23</v>
      </c>
      <c r="L3" s="6">
        <v>11</v>
      </c>
      <c r="M3" s="6">
        <v>4</v>
      </c>
      <c r="N3" s="6">
        <v>5</v>
      </c>
      <c r="O3" s="6">
        <v>19</v>
      </c>
      <c r="P3" s="6">
        <v>0</v>
      </c>
      <c r="Q3" s="6">
        <v>1.96</v>
      </c>
      <c r="R3" s="6">
        <v>1.04</v>
      </c>
      <c r="S3" s="6">
        <v>3</v>
      </c>
      <c r="T3" s="6">
        <v>1.43</v>
      </c>
      <c r="U3" s="6">
        <v>2.48</v>
      </c>
    </row>
    <row r="4" spans="1:21">
      <c r="A4" s="7" t="s">
        <v>86</v>
      </c>
      <c r="B4" s="6">
        <v>20</v>
      </c>
      <c r="C4" s="6">
        <v>27.8</v>
      </c>
      <c r="D4" s="6">
        <v>37.799999999999997</v>
      </c>
      <c r="E4" s="6">
        <v>4</v>
      </c>
      <c r="F4" s="6">
        <v>44</v>
      </c>
      <c r="G4" s="6">
        <v>360</v>
      </c>
      <c r="H4" s="6">
        <v>4</v>
      </c>
      <c r="I4" s="6">
        <v>3</v>
      </c>
      <c r="J4" s="6">
        <v>3</v>
      </c>
      <c r="K4" s="6">
        <v>6</v>
      </c>
      <c r="L4" s="6">
        <v>3</v>
      </c>
      <c r="M4" s="6">
        <v>0</v>
      </c>
      <c r="N4" s="6">
        <v>0</v>
      </c>
      <c r="O4" s="6">
        <v>7</v>
      </c>
      <c r="P4" s="6">
        <v>0</v>
      </c>
      <c r="Q4" s="6">
        <v>0.75</v>
      </c>
      <c r="R4" s="6">
        <v>0.75</v>
      </c>
      <c r="S4" s="6">
        <v>1.5</v>
      </c>
      <c r="T4" s="6">
        <v>0.75</v>
      </c>
      <c r="U4" s="6">
        <v>1.5</v>
      </c>
    </row>
    <row r="5" spans="1:21">
      <c r="A5" s="7" t="s">
        <v>104</v>
      </c>
      <c r="B5" s="6">
        <v>20</v>
      </c>
      <c r="C5" s="6">
        <v>29.7</v>
      </c>
      <c r="D5" s="6">
        <v>57</v>
      </c>
      <c r="E5" s="6">
        <v>3</v>
      </c>
      <c r="F5" s="6">
        <v>33</v>
      </c>
      <c r="G5" s="6">
        <v>270</v>
      </c>
      <c r="H5" s="6">
        <v>3</v>
      </c>
      <c r="I5" s="6">
        <v>1</v>
      </c>
      <c r="J5" s="6">
        <v>1</v>
      </c>
      <c r="K5" s="6">
        <v>2</v>
      </c>
      <c r="L5" s="6">
        <v>1</v>
      </c>
      <c r="M5" s="6">
        <v>0</v>
      </c>
      <c r="N5" s="6">
        <v>0</v>
      </c>
      <c r="O5" s="6">
        <v>5</v>
      </c>
      <c r="P5" s="6">
        <v>0</v>
      </c>
      <c r="Q5" s="6">
        <v>0.33</v>
      </c>
      <c r="R5" s="6">
        <v>0.33</v>
      </c>
      <c r="S5" s="6">
        <v>0.67</v>
      </c>
      <c r="T5" s="6">
        <v>0.33</v>
      </c>
      <c r="U5" s="6">
        <v>0.67</v>
      </c>
    </row>
    <row r="6" spans="1:21">
      <c r="A6" s="7" t="s">
        <v>97</v>
      </c>
      <c r="B6" s="6">
        <v>26</v>
      </c>
      <c r="C6" s="6">
        <v>27.6</v>
      </c>
      <c r="D6" s="6">
        <v>56.2</v>
      </c>
      <c r="E6" s="6">
        <v>5</v>
      </c>
      <c r="F6" s="6">
        <v>55</v>
      </c>
      <c r="G6" s="6">
        <v>480</v>
      </c>
      <c r="H6" s="6">
        <v>5.3</v>
      </c>
      <c r="I6" s="6">
        <v>8</v>
      </c>
      <c r="J6" s="6">
        <v>6</v>
      </c>
      <c r="K6" s="6">
        <v>14</v>
      </c>
      <c r="L6" s="6">
        <v>7</v>
      </c>
      <c r="M6" s="6">
        <v>1</v>
      </c>
      <c r="N6" s="6">
        <v>1</v>
      </c>
      <c r="O6" s="6">
        <v>6</v>
      </c>
      <c r="P6" s="6">
        <v>0</v>
      </c>
      <c r="Q6" s="6">
        <v>1.5</v>
      </c>
      <c r="R6" s="6">
        <v>1.1299999999999999</v>
      </c>
      <c r="S6" s="6">
        <v>2.62</v>
      </c>
      <c r="T6" s="6">
        <v>1.31</v>
      </c>
      <c r="U6" s="6">
        <v>2.44</v>
      </c>
    </row>
    <row r="7" spans="1:21">
      <c r="A7" s="7" t="s">
        <v>339</v>
      </c>
      <c r="B7" s="6">
        <v>22</v>
      </c>
      <c r="C7" s="6">
        <v>27.2</v>
      </c>
      <c r="D7" s="6">
        <v>41.7</v>
      </c>
      <c r="E7" s="6">
        <v>3</v>
      </c>
      <c r="F7" s="6">
        <v>33</v>
      </c>
      <c r="G7" s="6">
        <v>270</v>
      </c>
      <c r="H7" s="6">
        <v>3</v>
      </c>
      <c r="I7" s="6">
        <v>4</v>
      </c>
      <c r="J7" s="6">
        <v>4</v>
      </c>
      <c r="K7" s="6">
        <v>8</v>
      </c>
      <c r="L7" s="6">
        <v>4</v>
      </c>
      <c r="M7" s="6">
        <v>0</v>
      </c>
      <c r="N7" s="6">
        <v>0</v>
      </c>
      <c r="O7" s="6">
        <v>8</v>
      </c>
      <c r="P7" s="6">
        <v>1</v>
      </c>
      <c r="Q7" s="6">
        <v>1.33</v>
      </c>
      <c r="R7" s="6">
        <v>1.33</v>
      </c>
      <c r="S7" s="6">
        <v>2.67</v>
      </c>
      <c r="T7" s="6">
        <v>1.33</v>
      </c>
      <c r="U7" s="6">
        <v>2.67</v>
      </c>
    </row>
    <row r="8" spans="1:21">
      <c r="A8" s="7" t="s">
        <v>96</v>
      </c>
      <c r="B8" s="6">
        <v>19</v>
      </c>
      <c r="C8" s="6">
        <v>27.3</v>
      </c>
      <c r="D8" s="6">
        <v>52</v>
      </c>
      <c r="E8" s="6">
        <v>3</v>
      </c>
      <c r="F8" s="6">
        <v>33</v>
      </c>
      <c r="G8" s="6">
        <v>270</v>
      </c>
      <c r="H8" s="6">
        <v>3</v>
      </c>
      <c r="I8" s="6">
        <v>1</v>
      </c>
      <c r="J8" s="6">
        <v>1</v>
      </c>
      <c r="K8" s="6">
        <v>2</v>
      </c>
      <c r="L8" s="6">
        <v>1</v>
      </c>
      <c r="M8" s="6">
        <v>0</v>
      </c>
      <c r="N8" s="6">
        <v>1</v>
      </c>
      <c r="O8" s="6">
        <v>8</v>
      </c>
      <c r="P8" s="6">
        <v>0</v>
      </c>
      <c r="Q8" s="6">
        <v>0.33</v>
      </c>
      <c r="R8" s="6">
        <v>0.33</v>
      </c>
      <c r="S8" s="6">
        <v>0.67</v>
      </c>
      <c r="T8" s="6">
        <v>0.33</v>
      </c>
      <c r="U8" s="6">
        <v>0.67</v>
      </c>
    </row>
    <row r="9" spans="1:21">
      <c r="A9" s="7" t="s">
        <v>340</v>
      </c>
      <c r="B9" s="6">
        <v>22</v>
      </c>
      <c r="C9" s="6">
        <v>29.7</v>
      </c>
      <c r="D9" s="6">
        <v>31.3</v>
      </c>
      <c r="E9" s="6">
        <v>3</v>
      </c>
      <c r="F9" s="6">
        <v>33</v>
      </c>
      <c r="G9" s="6">
        <v>270</v>
      </c>
      <c r="H9" s="6">
        <v>3</v>
      </c>
      <c r="I9" s="6">
        <v>3</v>
      </c>
      <c r="J9" s="6">
        <v>1</v>
      </c>
      <c r="K9" s="6">
        <v>4</v>
      </c>
      <c r="L9" s="6">
        <v>3</v>
      </c>
      <c r="M9" s="6">
        <v>0</v>
      </c>
      <c r="N9" s="6">
        <v>0</v>
      </c>
      <c r="O9" s="6">
        <v>6</v>
      </c>
      <c r="P9" s="6">
        <v>0</v>
      </c>
      <c r="Q9" s="6">
        <v>1</v>
      </c>
      <c r="R9" s="6">
        <v>0.33</v>
      </c>
      <c r="S9" s="6">
        <v>1.33</v>
      </c>
      <c r="T9" s="6">
        <v>1</v>
      </c>
      <c r="U9" s="6">
        <v>1.33</v>
      </c>
    </row>
    <row r="10" spans="1:21">
      <c r="A10" s="7" t="s">
        <v>81</v>
      </c>
      <c r="B10" s="6">
        <v>21</v>
      </c>
      <c r="C10" s="6">
        <v>28.3</v>
      </c>
      <c r="D10" s="6">
        <v>54.3</v>
      </c>
      <c r="E10" s="6">
        <v>7</v>
      </c>
      <c r="F10" s="6">
        <v>77</v>
      </c>
      <c r="G10" s="6">
        <v>690</v>
      </c>
      <c r="H10" s="6">
        <v>7.7</v>
      </c>
      <c r="I10" s="6">
        <v>8</v>
      </c>
      <c r="J10" s="6">
        <v>8</v>
      </c>
      <c r="K10" s="6">
        <v>16</v>
      </c>
      <c r="L10" s="6">
        <v>8</v>
      </c>
      <c r="M10" s="6">
        <v>0</v>
      </c>
      <c r="N10" s="6">
        <v>0</v>
      </c>
      <c r="O10" s="6">
        <v>8</v>
      </c>
      <c r="P10" s="6">
        <v>0</v>
      </c>
      <c r="Q10" s="6">
        <v>1.04</v>
      </c>
      <c r="R10" s="6">
        <v>1.04</v>
      </c>
      <c r="S10" s="6">
        <v>2.09</v>
      </c>
      <c r="T10" s="6">
        <v>1.04</v>
      </c>
      <c r="U10" s="6">
        <v>2.09</v>
      </c>
    </row>
    <row r="11" spans="1:21">
      <c r="A11" s="7" t="s">
        <v>341</v>
      </c>
      <c r="B11" s="6">
        <v>20</v>
      </c>
      <c r="C11" s="6">
        <v>26.6</v>
      </c>
      <c r="D11" s="6">
        <v>60</v>
      </c>
      <c r="E11" s="6">
        <v>3</v>
      </c>
      <c r="F11" s="6">
        <v>33</v>
      </c>
      <c r="G11" s="6">
        <v>270</v>
      </c>
      <c r="H11" s="6">
        <v>3</v>
      </c>
      <c r="I11" s="6">
        <v>1</v>
      </c>
      <c r="J11" s="6">
        <v>1</v>
      </c>
      <c r="K11" s="6">
        <v>2</v>
      </c>
      <c r="L11" s="6">
        <v>1</v>
      </c>
      <c r="M11" s="6">
        <v>0</v>
      </c>
      <c r="N11" s="6">
        <v>0</v>
      </c>
      <c r="O11" s="6">
        <v>5</v>
      </c>
      <c r="P11" s="6">
        <v>0</v>
      </c>
      <c r="Q11" s="6">
        <v>0.33</v>
      </c>
      <c r="R11" s="6">
        <v>0.33</v>
      </c>
      <c r="S11" s="6">
        <v>0.67</v>
      </c>
      <c r="T11" s="6">
        <v>0.33</v>
      </c>
      <c r="U11" s="6">
        <v>0.67</v>
      </c>
    </row>
    <row r="12" spans="1:21">
      <c r="A12" s="7" t="s">
        <v>70</v>
      </c>
      <c r="B12" s="6">
        <v>18</v>
      </c>
      <c r="C12" s="6">
        <v>24.9</v>
      </c>
      <c r="D12" s="6">
        <v>53.3</v>
      </c>
      <c r="E12" s="6">
        <v>3</v>
      </c>
      <c r="F12" s="6">
        <v>33</v>
      </c>
      <c r="G12" s="6">
        <v>270</v>
      </c>
      <c r="H12" s="6">
        <v>3</v>
      </c>
      <c r="I12" s="6">
        <v>4</v>
      </c>
      <c r="J12" s="6">
        <v>2</v>
      </c>
      <c r="K12" s="6">
        <v>6</v>
      </c>
      <c r="L12" s="6">
        <v>3</v>
      </c>
      <c r="M12" s="6">
        <v>1</v>
      </c>
      <c r="N12" s="6">
        <v>1</v>
      </c>
      <c r="O12" s="6">
        <v>3</v>
      </c>
      <c r="P12" s="6">
        <v>0</v>
      </c>
      <c r="Q12" s="6">
        <v>1.33</v>
      </c>
      <c r="R12" s="6">
        <v>0.67</v>
      </c>
      <c r="S12" s="6">
        <v>2</v>
      </c>
      <c r="T12" s="6">
        <v>1</v>
      </c>
      <c r="U12" s="6">
        <v>1.67</v>
      </c>
    </row>
    <row r="13" spans="1:21">
      <c r="A13" s="7" t="s">
        <v>105</v>
      </c>
      <c r="B13" s="6">
        <v>20</v>
      </c>
      <c r="C13" s="6">
        <v>26.1</v>
      </c>
      <c r="D13" s="6">
        <v>62.8</v>
      </c>
      <c r="E13" s="6">
        <v>5</v>
      </c>
      <c r="F13" s="6">
        <v>55</v>
      </c>
      <c r="G13" s="6">
        <v>450</v>
      </c>
      <c r="H13" s="6">
        <v>5</v>
      </c>
      <c r="I13" s="6">
        <v>13</v>
      </c>
      <c r="J13" s="6">
        <v>11</v>
      </c>
      <c r="K13" s="6">
        <v>24</v>
      </c>
      <c r="L13" s="6">
        <v>12</v>
      </c>
      <c r="M13" s="6">
        <v>1</v>
      </c>
      <c r="N13" s="6">
        <v>2</v>
      </c>
      <c r="O13" s="6">
        <v>1</v>
      </c>
      <c r="P13" s="6">
        <v>0</v>
      </c>
      <c r="Q13" s="6">
        <v>2.6</v>
      </c>
      <c r="R13" s="6">
        <v>2.2000000000000002</v>
      </c>
      <c r="S13" s="6">
        <v>4.8</v>
      </c>
      <c r="T13" s="6">
        <v>2.4</v>
      </c>
      <c r="U13" s="6">
        <v>4.5999999999999996</v>
      </c>
    </row>
    <row r="14" spans="1:21">
      <c r="A14" s="7" t="s">
        <v>102</v>
      </c>
      <c r="B14" s="6">
        <v>24</v>
      </c>
      <c r="C14" s="6">
        <v>26.3</v>
      </c>
      <c r="D14" s="6">
        <v>51.3</v>
      </c>
      <c r="E14" s="6">
        <v>7</v>
      </c>
      <c r="F14" s="6">
        <v>77</v>
      </c>
      <c r="G14" s="6">
        <v>660</v>
      </c>
      <c r="H14" s="6">
        <v>7.3</v>
      </c>
      <c r="I14" s="6">
        <v>16</v>
      </c>
      <c r="J14" s="6">
        <v>12</v>
      </c>
      <c r="K14" s="6">
        <v>28</v>
      </c>
      <c r="L14" s="6">
        <v>14</v>
      </c>
      <c r="M14" s="6">
        <v>2</v>
      </c>
      <c r="N14" s="6">
        <v>2</v>
      </c>
      <c r="O14" s="6">
        <v>8</v>
      </c>
      <c r="P14" s="6">
        <v>0</v>
      </c>
      <c r="Q14" s="6">
        <v>2.1800000000000002</v>
      </c>
      <c r="R14" s="6">
        <v>1.64</v>
      </c>
      <c r="S14" s="6">
        <v>3.82</v>
      </c>
      <c r="T14" s="6">
        <v>1.91</v>
      </c>
      <c r="U14" s="6">
        <v>3.55</v>
      </c>
    </row>
    <row r="15" spans="1:21">
      <c r="A15" s="7" t="s">
        <v>99</v>
      </c>
      <c r="B15" s="6">
        <v>20</v>
      </c>
      <c r="C15" s="6">
        <v>27.3</v>
      </c>
      <c r="D15" s="6">
        <v>59.3</v>
      </c>
      <c r="E15" s="6">
        <v>3</v>
      </c>
      <c r="F15" s="6">
        <v>33</v>
      </c>
      <c r="G15" s="6">
        <v>270</v>
      </c>
      <c r="H15" s="6">
        <v>3</v>
      </c>
      <c r="I15" s="6">
        <v>6</v>
      </c>
      <c r="J15" s="6">
        <v>5</v>
      </c>
      <c r="K15" s="6">
        <v>11</v>
      </c>
      <c r="L15" s="6">
        <v>5</v>
      </c>
      <c r="M15" s="6">
        <v>1</v>
      </c>
      <c r="N15" s="6">
        <v>1</v>
      </c>
      <c r="O15" s="6">
        <v>3</v>
      </c>
      <c r="P15" s="6">
        <v>0</v>
      </c>
      <c r="Q15" s="6">
        <v>2</v>
      </c>
      <c r="R15" s="6">
        <v>1.67</v>
      </c>
      <c r="S15" s="6">
        <v>3.67</v>
      </c>
      <c r="T15" s="6">
        <v>1.67</v>
      </c>
      <c r="U15" s="6">
        <v>3.33</v>
      </c>
    </row>
    <row r="16" spans="1:21">
      <c r="A16" s="7" t="s">
        <v>95</v>
      </c>
      <c r="B16" s="6">
        <v>20</v>
      </c>
      <c r="C16" s="6">
        <v>25.5</v>
      </c>
      <c r="D16" s="6">
        <v>42</v>
      </c>
      <c r="E16" s="6">
        <v>3</v>
      </c>
      <c r="F16" s="6">
        <v>33</v>
      </c>
      <c r="G16" s="6">
        <v>270</v>
      </c>
      <c r="H16" s="6">
        <v>3</v>
      </c>
      <c r="I16" s="6">
        <v>5</v>
      </c>
      <c r="J16" s="6">
        <v>2</v>
      </c>
      <c r="K16" s="6">
        <v>7</v>
      </c>
      <c r="L16" s="6">
        <v>5</v>
      </c>
      <c r="M16" s="6">
        <v>0</v>
      </c>
      <c r="N16" s="6">
        <v>1</v>
      </c>
      <c r="O16" s="6">
        <v>8</v>
      </c>
      <c r="P16" s="6">
        <v>0</v>
      </c>
      <c r="Q16" s="6">
        <v>1.67</v>
      </c>
      <c r="R16" s="6">
        <v>0.67</v>
      </c>
      <c r="S16" s="6">
        <v>2.33</v>
      </c>
      <c r="T16" s="6">
        <v>1.67</v>
      </c>
      <c r="U16" s="6">
        <v>2.33</v>
      </c>
    </row>
    <row r="17" spans="1:21">
      <c r="A17" s="7" t="s">
        <v>91</v>
      </c>
      <c r="B17" s="6">
        <v>21</v>
      </c>
      <c r="C17" s="6">
        <v>28.5</v>
      </c>
      <c r="D17" s="6">
        <v>36.700000000000003</v>
      </c>
      <c r="E17" s="6">
        <v>3</v>
      </c>
      <c r="F17" s="6">
        <v>33</v>
      </c>
      <c r="G17" s="6">
        <v>270</v>
      </c>
      <c r="H17" s="6">
        <v>3</v>
      </c>
      <c r="I17" s="6">
        <v>4</v>
      </c>
      <c r="J17" s="6">
        <v>2</v>
      </c>
      <c r="K17" s="6">
        <v>6</v>
      </c>
      <c r="L17" s="6">
        <v>3</v>
      </c>
      <c r="M17" s="6">
        <v>1</v>
      </c>
      <c r="N17" s="6">
        <v>1</v>
      </c>
      <c r="O17" s="6">
        <v>7</v>
      </c>
      <c r="P17" s="6">
        <v>0</v>
      </c>
      <c r="Q17" s="6">
        <v>1.33</v>
      </c>
      <c r="R17" s="6">
        <v>0.67</v>
      </c>
      <c r="S17" s="6">
        <v>2</v>
      </c>
      <c r="T17" s="6">
        <v>1</v>
      </c>
      <c r="U17" s="6">
        <v>1.67</v>
      </c>
    </row>
    <row r="18" spans="1:21">
      <c r="A18" s="7" t="s">
        <v>69</v>
      </c>
      <c r="B18" s="6">
        <v>22</v>
      </c>
      <c r="C18" s="6">
        <v>28</v>
      </c>
      <c r="D18" s="6">
        <v>35.799999999999997</v>
      </c>
      <c r="E18" s="6">
        <v>4</v>
      </c>
      <c r="F18" s="6">
        <v>44</v>
      </c>
      <c r="G18" s="6">
        <v>390</v>
      </c>
      <c r="H18" s="6">
        <v>4.3</v>
      </c>
      <c r="I18" s="6">
        <v>5</v>
      </c>
      <c r="J18" s="6">
        <v>4</v>
      </c>
      <c r="K18" s="6">
        <v>9</v>
      </c>
      <c r="L18" s="6">
        <v>5</v>
      </c>
      <c r="M18" s="6">
        <v>0</v>
      </c>
      <c r="N18" s="6">
        <v>0</v>
      </c>
      <c r="O18" s="6">
        <v>6</v>
      </c>
      <c r="P18" s="6">
        <v>0</v>
      </c>
      <c r="Q18" s="6">
        <v>1.1499999999999999</v>
      </c>
      <c r="R18" s="6">
        <v>0.92</v>
      </c>
      <c r="S18" s="6">
        <v>2.08</v>
      </c>
      <c r="T18" s="6">
        <v>1.1499999999999999</v>
      </c>
      <c r="U18" s="6">
        <v>2.08</v>
      </c>
    </row>
    <row r="19" spans="1:21">
      <c r="A19" s="7" t="s">
        <v>85</v>
      </c>
      <c r="B19" s="6">
        <v>21</v>
      </c>
      <c r="C19" s="6">
        <v>28.2</v>
      </c>
      <c r="D19" s="6">
        <v>48.3</v>
      </c>
      <c r="E19" s="6">
        <v>4</v>
      </c>
      <c r="F19" s="6">
        <v>44</v>
      </c>
      <c r="G19" s="6">
        <v>360</v>
      </c>
      <c r="H19" s="6">
        <v>4</v>
      </c>
      <c r="I19" s="6">
        <v>5</v>
      </c>
      <c r="J19" s="6">
        <v>3</v>
      </c>
      <c r="K19" s="6">
        <v>8</v>
      </c>
      <c r="L19" s="6">
        <v>5</v>
      </c>
      <c r="M19" s="6">
        <v>0</v>
      </c>
      <c r="N19" s="6">
        <v>0</v>
      </c>
      <c r="O19" s="6">
        <v>7</v>
      </c>
      <c r="P19" s="6">
        <v>0</v>
      </c>
      <c r="Q19" s="6">
        <v>1.25</v>
      </c>
      <c r="R19" s="6">
        <v>0.75</v>
      </c>
      <c r="S19" s="6">
        <v>2</v>
      </c>
      <c r="T19" s="6">
        <v>1.25</v>
      </c>
      <c r="U19" s="6">
        <v>2</v>
      </c>
    </row>
    <row r="20" spans="1:21">
      <c r="A20" s="7" t="s">
        <v>98</v>
      </c>
      <c r="B20" s="6">
        <v>21</v>
      </c>
      <c r="C20" s="6">
        <v>28.2</v>
      </c>
      <c r="D20" s="6">
        <v>54</v>
      </c>
      <c r="E20" s="6">
        <v>3</v>
      </c>
      <c r="F20" s="6">
        <v>33</v>
      </c>
      <c r="G20" s="6">
        <v>270</v>
      </c>
      <c r="H20" s="6">
        <v>3</v>
      </c>
      <c r="I20" s="6">
        <v>2</v>
      </c>
      <c r="J20" s="6">
        <v>1</v>
      </c>
      <c r="K20" s="6">
        <v>3</v>
      </c>
      <c r="L20" s="6">
        <v>2</v>
      </c>
      <c r="M20" s="6">
        <v>0</v>
      </c>
      <c r="N20" s="6">
        <v>0</v>
      </c>
      <c r="O20" s="6">
        <v>7</v>
      </c>
      <c r="P20" s="6">
        <v>0</v>
      </c>
      <c r="Q20" s="6">
        <v>0.67</v>
      </c>
      <c r="R20" s="6">
        <v>0.33</v>
      </c>
      <c r="S20" s="6">
        <v>1</v>
      </c>
      <c r="T20" s="6">
        <v>0.67</v>
      </c>
      <c r="U20" s="6">
        <v>1</v>
      </c>
    </row>
    <row r="21" spans="1:21">
      <c r="A21" s="7" t="s">
        <v>65</v>
      </c>
      <c r="B21" s="6">
        <v>25</v>
      </c>
      <c r="C21" s="6">
        <v>26.3</v>
      </c>
      <c r="D21" s="6">
        <v>39</v>
      </c>
      <c r="E21" s="6">
        <v>7</v>
      </c>
      <c r="F21" s="6">
        <v>77</v>
      </c>
      <c r="G21" s="6">
        <v>660</v>
      </c>
      <c r="H21" s="6">
        <v>7.3</v>
      </c>
      <c r="I21" s="6">
        <v>6</v>
      </c>
      <c r="J21" s="6">
        <v>4</v>
      </c>
      <c r="K21" s="6">
        <v>10</v>
      </c>
      <c r="L21" s="6">
        <v>6</v>
      </c>
      <c r="M21" s="6">
        <v>0</v>
      </c>
      <c r="N21" s="6">
        <v>0</v>
      </c>
      <c r="O21" s="6">
        <v>9</v>
      </c>
      <c r="P21" s="6">
        <v>1</v>
      </c>
      <c r="Q21" s="6">
        <v>0.82</v>
      </c>
      <c r="R21" s="6">
        <v>0.55000000000000004</v>
      </c>
      <c r="S21" s="6">
        <v>1.36</v>
      </c>
      <c r="T21" s="6">
        <v>0.82</v>
      </c>
      <c r="U21" s="6">
        <v>1.36</v>
      </c>
    </row>
    <row r="22" spans="1:21">
      <c r="A22" s="7" t="s">
        <v>100</v>
      </c>
      <c r="B22" s="6">
        <v>21</v>
      </c>
      <c r="C22" s="6">
        <v>26.8</v>
      </c>
      <c r="D22" s="6">
        <v>53</v>
      </c>
      <c r="E22" s="6">
        <v>5</v>
      </c>
      <c r="F22" s="6">
        <v>55</v>
      </c>
      <c r="G22" s="6">
        <v>480</v>
      </c>
      <c r="H22" s="6">
        <v>5.3</v>
      </c>
      <c r="I22" s="6">
        <v>10</v>
      </c>
      <c r="J22" s="6">
        <v>8</v>
      </c>
      <c r="K22" s="6">
        <v>18</v>
      </c>
      <c r="L22" s="6">
        <v>10</v>
      </c>
      <c r="M22" s="6">
        <v>0</v>
      </c>
      <c r="N22" s="6">
        <v>0</v>
      </c>
      <c r="O22" s="6">
        <v>12</v>
      </c>
      <c r="P22" s="6">
        <v>1</v>
      </c>
      <c r="Q22" s="6">
        <v>1.87</v>
      </c>
      <c r="R22" s="6">
        <v>1.5</v>
      </c>
      <c r="S22" s="6">
        <v>3.38</v>
      </c>
      <c r="T22" s="6">
        <v>1.87</v>
      </c>
      <c r="U22" s="6">
        <v>3.38</v>
      </c>
    </row>
    <row r="23" spans="1:21">
      <c r="A23" s="7" t="s">
        <v>342</v>
      </c>
      <c r="B23" s="6">
        <v>21</v>
      </c>
      <c r="C23" s="6">
        <v>27.8</v>
      </c>
      <c r="D23" s="6">
        <v>37.299999999999997</v>
      </c>
      <c r="E23" s="6">
        <v>4</v>
      </c>
      <c r="F23" s="6">
        <v>44</v>
      </c>
      <c r="G23" s="6">
        <v>360</v>
      </c>
      <c r="H23" s="6">
        <v>4</v>
      </c>
      <c r="I23" s="6">
        <v>3</v>
      </c>
      <c r="J23" s="6">
        <v>1</v>
      </c>
      <c r="K23" s="6">
        <v>4</v>
      </c>
      <c r="L23" s="6">
        <v>2</v>
      </c>
      <c r="M23" s="6">
        <v>1</v>
      </c>
      <c r="N23" s="6">
        <v>2</v>
      </c>
      <c r="O23" s="6">
        <v>7</v>
      </c>
      <c r="P23" s="6">
        <v>0</v>
      </c>
      <c r="Q23" s="6">
        <v>0.75</v>
      </c>
      <c r="R23" s="6">
        <v>0.25</v>
      </c>
      <c r="S23" s="6">
        <v>1</v>
      </c>
      <c r="T23" s="6">
        <v>0.5</v>
      </c>
      <c r="U23" s="6">
        <v>0.75</v>
      </c>
    </row>
    <row r="24" spans="1:21">
      <c r="A24" s="7" t="s">
        <v>106</v>
      </c>
      <c r="B24" s="6">
        <v>24</v>
      </c>
      <c r="C24" s="6">
        <v>26.9</v>
      </c>
      <c r="D24" s="6">
        <v>60.4</v>
      </c>
      <c r="E24" s="6">
        <v>5</v>
      </c>
      <c r="F24" s="6">
        <v>55</v>
      </c>
      <c r="G24" s="6">
        <v>450</v>
      </c>
      <c r="H24" s="6">
        <v>5</v>
      </c>
      <c r="I24" s="6">
        <v>12</v>
      </c>
      <c r="J24" s="6">
        <v>10</v>
      </c>
      <c r="K24" s="6">
        <v>22</v>
      </c>
      <c r="L24" s="6">
        <v>10</v>
      </c>
      <c r="M24" s="6">
        <v>2</v>
      </c>
      <c r="N24" s="6">
        <v>2</v>
      </c>
      <c r="O24" s="6">
        <v>6</v>
      </c>
      <c r="P24" s="6">
        <v>0</v>
      </c>
      <c r="Q24" s="6">
        <v>2.4</v>
      </c>
      <c r="R24" s="6">
        <v>2</v>
      </c>
      <c r="S24" s="6">
        <v>4.4000000000000004</v>
      </c>
      <c r="T24" s="6">
        <v>2</v>
      </c>
      <c r="U24" s="6">
        <v>4</v>
      </c>
    </row>
    <row r="25" spans="1:21">
      <c r="A25" s="7" t="s">
        <v>84</v>
      </c>
      <c r="B25" s="6">
        <v>20</v>
      </c>
      <c r="C25" s="6">
        <v>28.2</v>
      </c>
      <c r="D25" s="6">
        <v>43</v>
      </c>
      <c r="E25" s="6">
        <v>3</v>
      </c>
      <c r="F25" s="6">
        <v>33</v>
      </c>
      <c r="G25" s="6">
        <v>270</v>
      </c>
      <c r="H25" s="6">
        <v>3</v>
      </c>
      <c r="I25" s="6">
        <v>1</v>
      </c>
      <c r="J25" s="6">
        <v>1</v>
      </c>
      <c r="K25" s="6">
        <v>2</v>
      </c>
      <c r="L25" s="6">
        <v>1</v>
      </c>
      <c r="M25" s="6">
        <v>0</v>
      </c>
      <c r="N25" s="6">
        <v>0</v>
      </c>
      <c r="O25" s="6">
        <v>7</v>
      </c>
      <c r="P25" s="6">
        <v>0</v>
      </c>
      <c r="Q25" s="6">
        <v>0.33</v>
      </c>
      <c r="R25" s="6">
        <v>0.33</v>
      </c>
      <c r="S25" s="6">
        <v>0.67</v>
      </c>
      <c r="T25" s="6">
        <v>0.33</v>
      </c>
      <c r="U25" s="6">
        <v>0.67</v>
      </c>
    </row>
    <row r="26" spans="1:21">
      <c r="A26" s="7" t="s">
        <v>90</v>
      </c>
      <c r="B26" s="6">
        <v>23</v>
      </c>
      <c r="C26" s="6">
        <v>27.3</v>
      </c>
      <c r="D26" s="6">
        <v>44.7</v>
      </c>
      <c r="E26" s="6">
        <v>3</v>
      </c>
      <c r="F26" s="6">
        <v>33</v>
      </c>
      <c r="G26" s="6">
        <v>270</v>
      </c>
      <c r="H26" s="6">
        <v>3</v>
      </c>
      <c r="I26" s="6">
        <v>3</v>
      </c>
      <c r="J26" s="6">
        <v>2</v>
      </c>
      <c r="K26" s="6">
        <v>5</v>
      </c>
      <c r="L26" s="6">
        <v>3</v>
      </c>
      <c r="M26" s="6">
        <v>0</v>
      </c>
      <c r="N26" s="6">
        <v>1</v>
      </c>
      <c r="O26" s="6">
        <v>14</v>
      </c>
      <c r="P26" s="6">
        <v>0</v>
      </c>
      <c r="Q26" s="6">
        <v>1</v>
      </c>
      <c r="R26" s="6">
        <v>0.67</v>
      </c>
      <c r="S26" s="6">
        <v>1.67</v>
      </c>
      <c r="T26" s="6">
        <v>1</v>
      </c>
      <c r="U26" s="6">
        <v>1.67</v>
      </c>
    </row>
    <row r="27" spans="1:21">
      <c r="A27" s="7" t="s">
        <v>76</v>
      </c>
      <c r="B27" s="6">
        <v>20</v>
      </c>
      <c r="C27" s="6">
        <v>26.9</v>
      </c>
      <c r="D27" s="6">
        <v>44.8</v>
      </c>
      <c r="E27" s="6">
        <v>4</v>
      </c>
      <c r="F27" s="6">
        <v>44</v>
      </c>
      <c r="G27" s="6">
        <v>360</v>
      </c>
      <c r="H27" s="6">
        <v>4</v>
      </c>
      <c r="I27" s="6">
        <v>5</v>
      </c>
      <c r="J27" s="6">
        <v>2</v>
      </c>
      <c r="K27" s="6">
        <v>7</v>
      </c>
      <c r="L27" s="6">
        <v>4</v>
      </c>
      <c r="M27" s="6">
        <v>1</v>
      </c>
      <c r="N27" s="6">
        <v>1</v>
      </c>
      <c r="O27" s="6">
        <v>7</v>
      </c>
      <c r="P27" s="6">
        <v>0</v>
      </c>
      <c r="Q27" s="6">
        <v>1.25</v>
      </c>
      <c r="R27" s="6">
        <v>0.5</v>
      </c>
      <c r="S27" s="6">
        <v>1.75</v>
      </c>
      <c r="T27" s="6">
        <v>1</v>
      </c>
      <c r="U27" s="6">
        <v>1.5</v>
      </c>
    </row>
    <row r="28" spans="1:21">
      <c r="A28" s="7" t="s">
        <v>343</v>
      </c>
      <c r="B28" s="6">
        <v>22</v>
      </c>
      <c r="C28" s="6">
        <v>26.5</v>
      </c>
      <c r="D28" s="6">
        <v>51.3</v>
      </c>
      <c r="E28" s="6">
        <v>3</v>
      </c>
      <c r="F28" s="6">
        <v>33</v>
      </c>
      <c r="G28" s="6">
        <v>270</v>
      </c>
      <c r="H28" s="6">
        <v>3</v>
      </c>
      <c r="I28" s="6">
        <v>5</v>
      </c>
      <c r="J28" s="6">
        <v>4</v>
      </c>
      <c r="K28" s="6">
        <v>9</v>
      </c>
      <c r="L28" s="6">
        <v>5</v>
      </c>
      <c r="M28" s="6">
        <v>0</v>
      </c>
      <c r="N28" s="6">
        <v>0</v>
      </c>
      <c r="O28" s="6">
        <v>12</v>
      </c>
      <c r="P28" s="6">
        <v>0</v>
      </c>
      <c r="Q28" s="6">
        <v>1.67</v>
      </c>
      <c r="R28" s="6">
        <v>1.33</v>
      </c>
      <c r="S28" s="6">
        <v>3</v>
      </c>
      <c r="T28" s="6">
        <v>1.67</v>
      </c>
      <c r="U28" s="6">
        <v>3</v>
      </c>
    </row>
    <row r="29" spans="1:21">
      <c r="A29" s="7" t="s">
        <v>103</v>
      </c>
      <c r="B29" s="6">
        <v>21</v>
      </c>
      <c r="C29" s="6">
        <v>25.5</v>
      </c>
      <c r="D29" s="6">
        <v>75.8</v>
      </c>
      <c r="E29" s="6">
        <v>4</v>
      </c>
      <c r="F29" s="6">
        <v>44</v>
      </c>
      <c r="G29" s="6">
        <v>390</v>
      </c>
      <c r="H29" s="6">
        <v>4.3</v>
      </c>
      <c r="I29" s="6">
        <v>9</v>
      </c>
      <c r="J29" s="6">
        <v>5</v>
      </c>
      <c r="K29" s="6">
        <v>14</v>
      </c>
      <c r="L29" s="6">
        <v>8</v>
      </c>
      <c r="M29" s="6">
        <v>1</v>
      </c>
      <c r="N29" s="6">
        <v>1</v>
      </c>
      <c r="O29" s="6">
        <v>2</v>
      </c>
      <c r="P29" s="6">
        <v>0</v>
      </c>
      <c r="Q29" s="6">
        <v>2.08</v>
      </c>
      <c r="R29" s="6">
        <v>1.1499999999999999</v>
      </c>
      <c r="S29" s="6">
        <v>3.23</v>
      </c>
      <c r="T29" s="6">
        <v>1.85</v>
      </c>
      <c r="U29" s="6">
        <v>3</v>
      </c>
    </row>
    <row r="30" spans="1:21">
      <c r="A30" s="7" t="s">
        <v>64</v>
      </c>
      <c r="B30" s="6">
        <v>24</v>
      </c>
      <c r="C30" s="6">
        <v>27.6</v>
      </c>
      <c r="D30" s="6">
        <v>49</v>
      </c>
      <c r="E30" s="6">
        <v>4</v>
      </c>
      <c r="F30" s="6">
        <v>44</v>
      </c>
      <c r="G30" s="6">
        <v>360</v>
      </c>
      <c r="H30" s="6">
        <v>4</v>
      </c>
      <c r="I30" s="6">
        <v>5</v>
      </c>
      <c r="J30" s="6">
        <v>4</v>
      </c>
      <c r="K30" s="6">
        <v>9</v>
      </c>
      <c r="L30" s="6">
        <v>5</v>
      </c>
      <c r="M30" s="6">
        <v>0</v>
      </c>
      <c r="N30" s="6">
        <v>0</v>
      </c>
      <c r="O30" s="6">
        <v>9</v>
      </c>
      <c r="P30" s="6">
        <v>0</v>
      </c>
      <c r="Q30" s="6">
        <v>1.25</v>
      </c>
      <c r="R30" s="6">
        <v>1</v>
      </c>
      <c r="S30" s="6">
        <v>2.25</v>
      </c>
      <c r="T30" s="6">
        <v>1.25</v>
      </c>
      <c r="U30" s="6">
        <v>2.25</v>
      </c>
    </row>
    <row r="31" spans="1:21">
      <c r="A31" s="7" t="s">
        <v>71</v>
      </c>
      <c r="B31" s="6">
        <v>21</v>
      </c>
      <c r="C31" s="6">
        <v>26.9</v>
      </c>
      <c r="D31" s="6">
        <v>44.3</v>
      </c>
      <c r="E31" s="6">
        <v>3</v>
      </c>
      <c r="F31" s="6">
        <v>33</v>
      </c>
      <c r="G31" s="6">
        <v>270</v>
      </c>
      <c r="H31" s="6">
        <v>3</v>
      </c>
      <c r="I31" s="6">
        <v>1</v>
      </c>
      <c r="J31" s="6">
        <v>1</v>
      </c>
      <c r="K31" s="6">
        <v>2</v>
      </c>
      <c r="L31" s="6">
        <v>1</v>
      </c>
      <c r="M31" s="6">
        <v>0</v>
      </c>
      <c r="N31" s="6">
        <v>0</v>
      </c>
      <c r="O31" s="6">
        <v>5</v>
      </c>
      <c r="P31" s="6">
        <v>0</v>
      </c>
      <c r="Q31" s="6">
        <v>0.33</v>
      </c>
      <c r="R31" s="6">
        <v>0.33</v>
      </c>
      <c r="S31" s="6">
        <v>0.67</v>
      </c>
      <c r="T31" s="6">
        <v>0.33</v>
      </c>
      <c r="U31" s="6">
        <v>0.67</v>
      </c>
    </row>
    <row r="32" spans="1:21">
      <c r="A32" s="7" t="s">
        <v>74</v>
      </c>
      <c r="B32" s="6">
        <v>19</v>
      </c>
      <c r="C32" s="6">
        <v>27.6</v>
      </c>
      <c r="D32" s="6">
        <v>48.7</v>
      </c>
      <c r="E32" s="6">
        <v>3</v>
      </c>
      <c r="F32" s="6">
        <v>33</v>
      </c>
      <c r="G32" s="6">
        <v>270</v>
      </c>
      <c r="H32" s="6">
        <v>3</v>
      </c>
      <c r="I32" s="6">
        <v>2</v>
      </c>
      <c r="J32" s="6">
        <v>1</v>
      </c>
      <c r="K32" s="6">
        <v>3</v>
      </c>
      <c r="L32" s="6">
        <v>2</v>
      </c>
      <c r="M32" s="6">
        <v>0</v>
      </c>
      <c r="N32" s="6">
        <v>0</v>
      </c>
      <c r="O32" s="6">
        <v>8</v>
      </c>
      <c r="P32" s="6">
        <v>0</v>
      </c>
      <c r="Q32" s="6">
        <v>0.67</v>
      </c>
      <c r="R32" s="6">
        <v>0.33</v>
      </c>
      <c r="S32" s="6">
        <v>1</v>
      </c>
      <c r="T32" s="6">
        <v>0.67</v>
      </c>
      <c r="U32" s="6">
        <v>1</v>
      </c>
    </row>
    <row r="33" spans="1:21">
      <c r="A33" s="7" t="s">
        <v>101</v>
      </c>
      <c r="B33" s="6">
        <v>20</v>
      </c>
      <c r="C33" s="6">
        <v>24.5</v>
      </c>
      <c r="D33" s="6">
        <v>53</v>
      </c>
      <c r="E33" s="6">
        <v>4</v>
      </c>
      <c r="F33" s="6">
        <v>44</v>
      </c>
      <c r="G33" s="6">
        <v>360</v>
      </c>
      <c r="H33" s="6">
        <v>4</v>
      </c>
      <c r="I33" s="6">
        <v>3</v>
      </c>
      <c r="J33" s="6">
        <v>3</v>
      </c>
      <c r="K33" s="6">
        <v>6</v>
      </c>
      <c r="L33" s="6">
        <v>3</v>
      </c>
      <c r="M33" s="6">
        <v>0</v>
      </c>
      <c r="N33" s="6">
        <v>0</v>
      </c>
      <c r="O33" s="6">
        <v>5</v>
      </c>
      <c r="P33" s="6">
        <v>0</v>
      </c>
      <c r="Q33" s="6">
        <v>0.75</v>
      </c>
      <c r="R33" s="6">
        <v>0.75</v>
      </c>
      <c r="S33" s="6">
        <v>1.5</v>
      </c>
      <c r="T33" s="6">
        <v>0.75</v>
      </c>
      <c r="U33" s="6">
        <v>1.5</v>
      </c>
    </row>
    <row r="34" spans="1:21">
      <c r="A34" s="7" t="s">
        <v>344</v>
      </c>
      <c r="B34" s="6">
        <v>18</v>
      </c>
      <c r="C34" s="6">
        <v>26.8</v>
      </c>
      <c r="D34" s="6">
        <v>46.7</v>
      </c>
      <c r="E34" s="6">
        <v>3</v>
      </c>
      <c r="F34" s="6">
        <v>33</v>
      </c>
      <c r="G34" s="6">
        <v>270</v>
      </c>
      <c r="H34" s="6">
        <v>3</v>
      </c>
      <c r="I34" s="6">
        <v>1</v>
      </c>
      <c r="J34" s="6">
        <v>0</v>
      </c>
      <c r="K34" s="6">
        <v>1</v>
      </c>
      <c r="L34" s="6">
        <v>0</v>
      </c>
      <c r="M34" s="6">
        <v>1</v>
      </c>
      <c r="N34" s="6">
        <v>1</v>
      </c>
      <c r="O34" s="6">
        <v>5</v>
      </c>
      <c r="P34" s="6">
        <v>1</v>
      </c>
      <c r="Q34" s="6">
        <v>0.33</v>
      </c>
      <c r="R34" s="6">
        <v>0</v>
      </c>
      <c r="S34" s="6">
        <v>0.33</v>
      </c>
      <c r="T34" s="6">
        <v>0</v>
      </c>
      <c r="U34" s="6">
        <v>0</v>
      </c>
    </row>
  </sheetData>
  <mergeCells count="4">
    <mergeCell ref="A1:D1"/>
    <mergeCell ref="E1:H1"/>
    <mergeCell ref="I1:P1"/>
    <mergeCell ref="Q1:U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10045-2667-B14A-A971-50E906895F20}">
  <dimension ref="A1:P105"/>
  <sheetViews>
    <sheetView topLeftCell="C1" workbookViewId="0">
      <selection activeCell="P2" sqref="P2"/>
    </sheetView>
  </sheetViews>
  <sheetFormatPr baseColWidth="10" defaultColWidth="8.83203125" defaultRowHeight="16"/>
  <cols>
    <col min="1" max="1" width="13.6640625" bestFit="1" customWidth="1"/>
    <col min="2" max="2" width="3.33203125" bestFit="1" customWidth="1"/>
    <col min="3" max="3" width="4.1640625" bestFit="1" customWidth="1"/>
    <col min="4" max="4" width="8" bestFit="1" customWidth="1"/>
    <col min="5" max="5" width="10.1640625" bestFit="1" customWidth="1"/>
    <col min="6" max="6" width="13.33203125" bestFit="1" customWidth="1"/>
    <col min="7" max="7" width="7.83203125" bestFit="1" customWidth="1"/>
    <col min="8" max="8" width="12.6640625" bestFit="1" customWidth="1"/>
    <col min="9" max="9" width="9" bestFit="1" customWidth="1"/>
    <col min="10" max="10" width="33" bestFit="1" customWidth="1"/>
    <col min="11" max="11" width="21.83203125" bestFit="1" customWidth="1"/>
    <col min="12" max="12" width="10.1640625" bestFit="1" customWidth="1"/>
    <col min="13" max="13" width="35.33203125" bestFit="1" customWidth="1"/>
  </cols>
  <sheetData>
    <row r="1" spans="1:16">
      <c r="A1" s="7" t="s">
        <v>167</v>
      </c>
      <c r="B1" s="7" t="s">
        <v>168</v>
      </c>
      <c r="C1" s="7" t="s">
        <v>169</v>
      </c>
      <c r="D1" s="7" t="s">
        <v>1</v>
      </c>
      <c r="E1" s="7" t="s">
        <v>170</v>
      </c>
      <c r="F1" s="7" t="s">
        <v>171</v>
      </c>
      <c r="G1" s="7" t="s">
        <v>172</v>
      </c>
      <c r="H1" s="7" t="s">
        <v>173</v>
      </c>
      <c r="I1" s="7" t="s">
        <v>174</v>
      </c>
      <c r="J1" s="7" t="s">
        <v>175</v>
      </c>
      <c r="K1" s="7" t="s">
        <v>176</v>
      </c>
      <c r="L1" s="7" t="s">
        <v>177</v>
      </c>
      <c r="M1" s="7" t="s">
        <v>178</v>
      </c>
      <c r="N1" s="7" t="s">
        <v>5</v>
      </c>
      <c r="O1" s="7" t="s">
        <v>6</v>
      </c>
      <c r="P1" s="7" t="s">
        <v>7</v>
      </c>
    </row>
    <row r="2" spans="1:16">
      <c r="A2" s="7" t="s">
        <v>108</v>
      </c>
      <c r="B2" s="6">
        <v>1</v>
      </c>
      <c r="C2" s="6" t="s">
        <v>179</v>
      </c>
      <c r="D2" s="2">
        <v>46184</v>
      </c>
      <c r="E2" s="6" t="s">
        <v>180</v>
      </c>
      <c r="F2" s="5" t="s">
        <v>12</v>
      </c>
      <c r="G2" s="6" t="s">
        <v>181</v>
      </c>
      <c r="H2" s="6" t="s">
        <v>60</v>
      </c>
      <c r="I2" s="9">
        <v>80824</v>
      </c>
      <c r="J2" s="6" t="s">
        <v>182</v>
      </c>
      <c r="K2" s="6" t="s">
        <v>183</v>
      </c>
      <c r="L2" s="6" t="s">
        <v>177</v>
      </c>
      <c r="M2" s="10"/>
      <c r="N2">
        <f>VALUE(TRIM(RIGHT(LEFT(SUBSTITUTE(G2,_xlfn.UNICHAR(8211),"-"),FIND("-",SUBSTITUTE(G2,_xlfn.UNICHAR(8211),"-"))-1),2)))</f>
        <v>2</v>
      </c>
      <c r="O2">
        <f>VALUE(TRIM(LEFT(MID(SUBSTITUTE(G2,_xlfn.UNICHAR(8211),"-"),FIND("-",SUBSTITUTE(G2,_xlfn.UNICHAR(8211),"-"))+1,100),2)))</f>
        <v>0</v>
      </c>
      <c r="P2" t="str">
        <f>IF(LEFT(TRIM(G2),1)="(",MID(TRIM(G2),2,FIND(")",TRIM(G2))-2)&amp;"-"&amp;MID(TRIM(G2),FIND("(",TRIM(G2),2)+1,LEN(TRIM(G2))-FIND("(",TRIM(G2),2)-1),"")</f>
        <v/>
      </c>
    </row>
    <row r="3" spans="1:16">
      <c r="A3" s="7" t="s">
        <v>108</v>
      </c>
      <c r="B3" s="6">
        <v>1</v>
      </c>
      <c r="C3" s="6" t="s">
        <v>179</v>
      </c>
      <c r="D3" s="2">
        <v>46184</v>
      </c>
      <c r="E3" s="6" t="s">
        <v>184</v>
      </c>
      <c r="F3" s="5" t="s">
        <v>13</v>
      </c>
      <c r="G3" s="6" t="s">
        <v>185</v>
      </c>
      <c r="H3" s="6" t="s">
        <v>61</v>
      </c>
      <c r="I3" s="9">
        <v>44985</v>
      </c>
      <c r="J3" s="6" t="s">
        <v>186</v>
      </c>
      <c r="K3" s="6" t="s">
        <v>187</v>
      </c>
      <c r="L3" s="6" t="s">
        <v>177</v>
      </c>
      <c r="M3" s="10"/>
      <c r="N3">
        <f t="shared" ref="N3:N66" si="0">VALUE(TRIM(RIGHT(LEFT(SUBSTITUTE(G3,_xlfn.UNICHAR(8211),"-"),FIND("-",SUBSTITUTE(G3,_xlfn.UNICHAR(8211),"-"))-1),2)))</f>
        <v>2</v>
      </c>
      <c r="O3">
        <f t="shared" ref="O3:O66" si="1">VALUE(TRIM(LEFT(MID(SUBSTITUTE(G3,_xlfn.UNICHAR(8211),"-"),FIND("-",SUBSTITUTE(G3,_xlfn.UNICHAR(8211),"-"))+1,100),2)))</f>
        <v>1</v>
      </c>
      <c r="P3" t="str">
        <f t="shared" ref="P3:P66" si="2">IF(LEFT(TRIM(G3),1)="(",MID(TRIM(G3),2,FIND(")",TRIM(G3))-2)&amp;"-"&amp;MID(TRIM(G3),FIND("(",TRIM(G3),2)+1,LEN(TRIM(G3))-FIND("(",TRIM(G3),2)-1),"")</f>
        <v/>
      </c>
    </row>
    <row r="4" spans="1:16">
      <c r="A4" s="7" t="s">
        <v>108</v>
      </c>
      <c r="B4" s="6">
        <v>1</v>
      </c>
      <c r="C4" s="6" t="s">
        <v>188</v>
      </c>
      <c r="D4" s="2">
        <v>46185</v>
      </c>
      <c r="E4" s="6" t="s">
        <v>189</v>
      </c>
      <c r="F4" s="6" t="s">
        <v>14</v>
      </c>
      <c r="G4" s="6" t="s">
        <v>190</v>
      </c>
      <c r="H4" s="6" t="s">
        <v>62</v>
      </c>
      <c r="I4" s="9">
        <v>43002</v>
      </c>
      <c r="J4" s="6" t="s">
        <v>191</v>
      </c>
      <c r="K4" s="6" t="s">
        <v>192</v>
      </c>
      <c r="L4" s="6" t="s">
        <v>177</v>
      </c>
      <c r="M4" s="10"/>
      <c r="N4">
        <f t="shared" si="0"/>
        <v>1</v>
      </c>
      <c r="O4">
        <f t="shared" si="1"/>
        <v>1</v>
      </c>
      <c r="P4" t="str">
        <f t="shared" si="2"/>
        <v/>
      </c>
    </row>
    <row r="5" spans="1:16">
      <c r="A5" s="7" t="s">
        <v>108</v>
      </c>
      <c r="B5" s="6">
        <v>1</v>
      </c>
      <c r="C5" s="6" t="s">
        <v>188</v>
      </c>
      <c r="D5" s="2">
        <v>46185</v>
      </c>
      <c r="E5" s="6" t="s">
        <v>193</v>
      </c>
      <c r="F5" s="5" t="s">
        <v>15</v>
      </c>
      <c r="G5" s="6" t="s">
        <v>194</v>
      </c>
      <c r="H5" s="6" t="s">
        <v>63</v>
      </c>
      <c r="I5" s="9">
        <v>70492</v>
      </c>
      <c r="J5" s="6" t="s">
        <v>195</v>
      </c>
      <c r="K5" s="6" t="s">
        <v>196</v>
      </c>
      <c r="L5" s="6" t="s">
        <v>177</v>
      </c>
      <c r="M5" s="10"/>
      <c r="N5">
        <f t="shared" si="0"/>
        <v>4</v>
      </c>
      <c r="O5">
        <f t="shared" si="1"/>
        <v>1</v>
      </c>
      <c r="P5" t="str">
        <f t="shared" si="2"/>
        <v/>
      </c>
    </row>
    <row r="6" spans="1:16">
      <c r="A6" s="7" t="s">
        <v>108</v>
      </c>
      <c r="B6" s="6">
        <v>1</v>
      </c>
      <c r="C6" s="6" t="s">
        <v>197</v>
      </c>
      <c r="D6" s="2">
        <v>46186</v>
      </c>
      <c r="E6" s="6" t="s">
        <v>198</v>
      </c>
      <c r="F6" s="6" t="s">
        <v>16</v>
      </c>
      <c r="G6" s="6" t="s">
        <v>190</v>
      </c>
      <c r="H6" s="6" t="s">
        <v>64</v>
      </c>
      <c r="I6" s="9">
        <v>67966</v>
      </c>
      <c r="J6" s="6" t="s">
        <v>199</v>
      </c>
      <c r="K6" s="6" t="s">
        <v>200</v>
      </c>
      <c r="L6" s="6" t="s">
        <v>177</v>
      </c>
      <c r="M6" s="10"/>
      <c r="N6">
        <f t="shared" si="0"/>
        <v>1</v>
      </c>
      <c r="O6">
        <f t="shared" si="1"/>
        <v>1</v>
      </c>
      <c r="P6" t="str">
        <f t="shared" si="2"/>
        <v/>
      </c>
    </row>
    <row r="7" spans="1:16">
      <c r="A7" s="7" t="s">
        <v>108</v>
      </c>
      <c r="B7" s="6">
        <v>1</v>
      </c>
      <c r="C7" s="6" t="s">
        <v>197</v>
      </c>
      <c r="D7" s="2">
        <v>46186</v>
      </c>
      <c r="E7" s="6" t="s">
        <v>201</v>
      </c>
      <c r="F7" s="6" t="s">
        <v>17</v>
      </c>
      <c r="G7" s="6" t="s">
        <v>190</v>
      </c>
      <c r="H7" s="6" t="s">
        <v>65</v>
      </c>
      <c r="I7" s="9">
        <v>80663</v>
      </c>
      <c r="J7" s="6" t="s">
        <v>202</v>
      </c>
      <c r="K7" s="6" t="s">
        <v>203</v>
      </c>
      <c r="L7" s="6" t="s">
        <v>177</v>
      </c>
      <c r="M7" s="10"/>
      <c r="N7">
        <f t="shared" si="0"/>
        <v>1</v>
      </c>
      <c r="O7">
        <f t="shared" si="1"/>
        <v>1</v>
      </c>
      <c r="P7" t="str">
        <f t="shared" si="2"/>
        <v/>
      </c>
    </row>
    <row r="8" spans="1:16">
      <c r="A8" s="7" t="s">
        <v>108</v>
      </c>
      <c r="B8" s="6">
        <v>1</v>
      </c>
      <c r="C8" s="6" t="s">
        <v>197</v>
      </c>
      <c r="D8" s="2">
        <v>46186</v>
      </c>
      <c r="E8" s="6" t="s">
        <v>204</v>
      </c>
      <c r="F8" s="5" t="s">
        <v>18</v>
      </c>
      <c r="G8" s="6" t="s">
        <v>181</v>
      </c>
      <c r="H8" s="6" t="s">
        <v>66</v>
      </c>
      <c r="I8" s="9">
        <v>52497</v>
      </c>
      <c r="J8" s="6" t="s">
        <v>205</v>
      </c>
      <c r="K8" s="6" t="s">
        <v>206</v>
      </c>
      <c r="L8" s="6" t="s">
        <v>177</v>
      </c>
      <c r="M8" s="10"/>
      <c r="N8">
        <f t="shared" si="0"/>
        <v>2</v>
      </c>
      <c r="O8">
        <f t="shared" si="1"/>
        <v>0</v>
      </c>
      <c r="P8" t="str">
        <f t="shared" si="2"/>
        <v/>
      </c>
    </row>
    <row r="9" spans="1:16">
      <c r="A9" s="7" t="s">
        <v>108</v>
      </c>
      <c r="B9" s="6">
        <v>1</v>
      </c>
      <c r="C9" s="6" t="s">
        <v>197</v>
      </c>
      <c r="D9" s="2">
        <v>46186</v>
      </c>
      <c r="E9" s="6" t="s">
        <v>207</v>
      </c>
      <c r="F9" s="6" t="s">
        <v>19</v>
      </c>
      <c r="G9" s="6" t="s">
        <v>208</v>
      </c>
      <c r="H9" s="5" t="s">
        <v>67</v>
      </c>
      <c r="I9" s="9">
        <v>64146</v>
      </c>
      <c r="J9" s="6" t="s">
        <v>209</v>
      </c>
      <c r="K9" s="6" t="s">
        <v>210</v>
      </c>
      <c r="L9" s="6" t="s">
        <v>177</v>
      </c>
      <c r="M9" s="10"/>
      <c r="N9">
        <f t="shared" si="0"/>
        <v>0</v>
      </c>
      <c r="O9">
        <f t="shared" si="1"/>
        <v>1</v>
      </c>
      <c r="P9" t="str">
        <f t="shared" si="2"/>
        <v/>
      </c>
    </row>
    <row r="10" spans="1:16">
      <c r="A10" s="7" t="s">
        <v>108</v>
      </c>
      <c r="B10" s="6">
        <v>1</v>
      </c>
      <c r="C10" s="6" t="s">
        <v>211</v>
      </c>
      <c r="D10" s="2">
        <v>46187</v>
      </c>
      <c r="E10" s="6" t="s">
        <v>212</v>
      </c>
      <c r="F10" s="5" t="s">
        <v>20</v>
      </c>
      <c r="G10" s="6" t="s">
        <v>213</v>
      </c>
      <c r="H10" s="6" t="s">
        <v>68</v>
      </c>
      <c r="I10" s="9">
        <v>68021</v>
      </c>
      <c r="J10" s="6" t="s">
        <v>214</v>
      </c>
      <c r="K10" s="6" t="s">
        <v>215</v>
      </c>
      <c r="L10" s="6" t="s">
        <v>177</v>
      </c>
      <c r="M10" s="10"/>
      <c r="N10">
        <f t="shared" si="0"/>
        <v>7</v>
      </c>
      <c r="O10">
        <f t="shared" si="1"/>
        <v>1</v>
      </c>
      <c r="P10" t="str">
        <f t="shared" si="2"/>
        <v/>
      </c>
    </row>
    <row r="11" spans="1:16">
      <c r="A11" s="7" t="s">
        <v>108</v>
      </c>
      <c r="B11" s="6">
        <v>1</v>
      </c>
      <c r="C11" s="6" t="s">
        <v>211</v>
      </c>
      <c r="D11" s="2">
        <v>46187</v>
      </c>
      <c r="E11" s="6" t="s">
        <v>216</v>
      </c>
      <c r="F11" s="6" t="s">
        <v>21</v>
      </c>
      <c r="G11" s="6" t="s">
        <v>217</v>
      </c>
      <c r="H11" s="6" t="s">
        <v>69</v>
      </c>
      <c r="I11" s="9">
        <v>69285</v>
      </c>
      <c r="J11" s="6" t="s">
        <v>218</v>
      </c>
      <c r="K11" s="6" t="s">
        <v>219</v>
      </c>
      <c r="L11" s="6" t="s">
        <v>177</v>
      </c>
      <c r="M11" s="10"/>
      <c r="N11">
        <f t="shared" si="0"/>
        <v>2</v>
      </c>
      <c r="O11">
        <f t="shared" si="1"/>
        <v>2</v>
      </c>
      <c r="P11" t="str">
        <f t="shared" si="2"/>
        <v/>
      </c>
    </row>
    <row r="12" spans="1:16">
      <c r="A12" s="7" t="s">
        <v>108</v>
      </c>
      <c r="B12" s="6">
        <v>1</v>
      </c>
      <c r="C12" s="6" t="s">
        <v>211</v>
      </c>
      <c r="D12" s="2">
        <v>46187</v>
      </c>
      <c r="E12" s="6" t="s">
        <v>220</v>
      </c>
      <c r="F12" s="5" t="s">
        <v>22</v>
      </c>
      <c r="G12" s="6" t="s">
        <v>221</v>
      </c>
      <c r="H12" s="6" t="s">
        <v>70</v>
      </c>
      <c r="I12" s="9">
        <v>68274</v>
      </c>
      <c r="J12" s="6" t="s">
        <v>222</v>
      </c>
      <c r="K12" s="6" t="s">
        <v>223</v>
      </c>
      <c r="L12" s="6" t="s">
        <v>177</v>
      </c>
      <c r="M12" s="10"/>
      <c r="N12">
        <f t="shared" si="0"/>
        <v>1</v>
      </c>
      <c r="O12">
        <f t="shared" si="1"/>
        <v>0</v>
      </c>
      <c r="P12" t="str">
        <f t="shared" si="2"/>
        <v/>
      </c>
    </row>
    <row r="13" spans="1:16">
      <c r="A13" s="7" t="s">
        <v>108</v>
      </c>
      <c r="B13" s="6">
        <v>1</v>
      </c>
      <c r="C13" s="6" t="s">
        <v>211</v>
      </c>
      <c r="D13" s="2">
        <v>46187</v>
      </c>
      <c r="E13" s="6" t="s">
        <v>184</v>
      </c>
      <c r="F13" s="5" t="s">
        <v>23</v>
      </c>
      <c r="G13" s="6" t="s">
        <v>224</v>
      </c>
      <c r="H13" s="6" t="s">
        <v>71</v>
      </c>
      <c r="I13" s="9">
        <v>50987</v>
      </c>
      <c r="J13" s="6" t="s">
        <v>225</v>
      </c>
      <c r="K13" s="6" t="s">
        <v>226</v>
      </c>
      <c r="L13" s="6" t="s">
        <v>177</v>
      </c>
      <c r="M13" s="10"/>
      <c r="N13">
        <f t="shared" si="0"/>
        <v>5</v>
      </c>
      <c r="O13">
        <f t="shared" si="1"/>
        <v>1</v>
      </c>
      <c r="P13" t="str">
        <f t="shared" si="2"/>
        <v/>
      </c>
    </row>
    <row r="14" spans="1:16">
      <c r="A14" s="7" t="s">
        <v>108</v>
      </c>
      <c r="B14" s="6">
        <v>1</v>
      </c>
      <c r="C14" s="6" t="s">
        <v>227</v>
      </c>
      <c r="D14" s="2">
        <v>46188</v>
      </c>
      <c r="E14" s="6" t="s">
        <v>198</v>
      </c>
      <c r="F14" s="6" t="s">
        <v>24</v>
      </c>
      <c r="G14" s="6" t="s">
        <v>190</v>
      </c>
      <c r="H14" s="6" t="s">
        <v>72</v>
      </c>
      <c r="I14" s="9">
        <v>66775</v>
      </c>
      <c r="J14" s="6" t="s">
        <v>228</v>
      </c>
      <c r="K14" s="6" t="s">
        <v>229</v>
      </c>
      <c r="L14" s="6" t="s">
        <v>177</v>
      </c>
      <c r="M14" s="10"/>
      <c r="N14">
        <f t="shared" si="0"/>
        <v>1</v>
      </c>
      <c r="O14">
        <f t="shared" si="1"/>
        <v>1</v>
      </c>
      <c r="P14" t="str">
        <f t="shared" si="2"/>
        <v/>
      </c>
    </row>
    <row r="15" spans="1:16">
      <c r="A15" s="7" t="s">
        <v>108</v>
      </c>
      <c r="B15" s="6">
        <v>1</v>
      </c>
      <c r="C15" s="6" t="s">
        <v>227</v>
      </c>
      <c r="D15" s="2">
        <v>46188</v>
      </c>
      <c r="E15" s="6" t="s">
        <v>230</v>
      </c>
      <c r="F15" s="6" t="s">
        <v>25</v>
      </c>
      <c r="G15" s="6" t="s">
        <v>231</v>
      </c>
      <c r="H15" s="6" t="s">
        <v>73</v>
      </c>
      <c r="I15" s="9">
        <v>67640</v>
      </c>
      <c r="J15" s="6" t="s">
        <v>232</v>
      </c>
      <c r="K15" s="6" t="s">
        <v>233</v>
      </c>
      <c r="L15" s="6" t="s">
        <v>177</v>
      </c>
      <c r="M15" s="10"/>
      <c r="N15">
        <f t="shared" si="0"/>
        <v>0</v>
      </c>
      <c r="O15">
        <f t="shared" si="1"/>
        <v>0</v>
      </c>
      <c r="P15" t="str">
        <f t="shared" si="2"/>
        <v/>
      </c>
    </row>
    <row r="16" spans="1:16">
      <c r="A16" s="7" t="s">
        <v>108</v>
      </c>
      <c r="B16" s="6">
        <v>1</v>
      </c>
      <c r="C16" s="6" t="s">
        <v>227</v>
      </c>
      <c r="D16" s="2">
        <v>46188</v>
      </c>
      <c r="E16" s="6" t="s">
        <v>201</v>
      </c>
      <c r="F16" s="6" t="s">
        <v>26</v>
      </c>
      <c r="G16" s="6" t="s">
        <v>190</v>
      </c>
      <c r="H16" s="6" t="s">
        <v>74</v>
      </c>
      <c r="I16" s="9">
        <v>62764</v>
      </c>
      <c r="J16" s="6" t="s">
        <v>234</v>
      </c>
      <c r="K16" s="6" t="s">
        <v>235</v>
      </c>
      <c r="L16" s="6" t="s">
        <v>177</v>
      </c>
      <c r="M16" s="10"/>
      <c r="N16">
        <f t="shared" si="0"/>
        <v>1</v>
      </c>
      <c r="O16">
        <f t="shared" si="1"/>
        <v>1</v>
      </c>
      <c r="P16" t="str">
        <f t="shared" si="2"/>
        <v/>
      </c>
    </row>
    <row r="17" spans="1:16">
      <c r="A17" s="7" t="s">
        <v>108</v>
      </c>
      <c r="B17" s="6">
        <v>1</v>
      </c>
      <c r="C17" s="6" t="s">
        <v>227</v>
      </c>
      <c r="D17" s="2">
        <v>46188</v>
      </c>
      <c r="E17" s="6" t="s">
        <v>193</v>
      </c>
      <c r="F17" s="6" t="s">
        <v>27</v>
      </c>
      <c r="G17" s="6" t="s">
        <v>217</v>
      </c>
      <c r="H17" s="6" t="s">
        <v>75</v>
      </c>
      <c r="I17" s="9">
        <v>70108</v>
      </c>
      <c r="J17" s="6" t="s">
        <v>195</v>
      </c>
      <c r="K17" s="6" t="s">
        <v>236</v>
      </c>
      <c r="L17" s="6" t="s">
        <v>177</v>
      </c>
      <c r="M17" s="10"/>
      <c r="N17">
        <f t="shared" si="0"/>
        <v>2</v>
      </c>
      <c r="O17">
        <f t="shared" si="1"/>
        <v>2</v>
      </c>
      <c r="P17" t="str">
        <f t="shared" si="2"/>
        <v/>
      </c>
    </row>
    <row r="18" spans="1:16">
      <c r="A18" s="7" t="s">
        <v>108</v>
      </c>
      <c r="B18" s="6">
        <v>1</v>
      </c>
      <c r="C18" s="6" t="s">
        <v>237</v>
      </c>
      <c r="D18" s="2">
        <v>46189</v>
      </c>
      <c r="E18" s="6" t="s">
        <v>189</v>
      </c>
      <c r="F18" s="5" t="s">
        <v>28</v>
      </c>
      <c r="G18" s="6" t="s">
        <v>238</v>
      </c>
      <c r="H18" s="6" t="s">
        <v>76</v>
      </c>
      <c r="I18" s="9">
        <v>80545</v>
      </c>
      <c r="J18" s="6" t="s">
        <v>202</v>
      </c>
      <c r="K18" s="6" t="s">
        <v>239</v>
      </c>
      <c r="L18" s="6" t="s">
        <v>177</v>
      </c>
      <c r="M18" s="10"/>
      <c r="N18">
        <f t="shared" si="0"/>
        <v>3</v>
      </c>
      <c r="O18">
        <f t="shared" si="1"/>
        <v>1</v>
      </c>
      <c r="P18" t="str">
        <f t="shared" si="2"/>
        <v/>
      </c>
    </row>
    <row r="19" spans="1:16">
      <c r="A19" s="7" t="s">
        <v>108</v>
      </c>
      <c r="B19" s="6">
        <v>1</v>
      </c>
      <c r="C19" s="6" t="s">
        <v>237</v>
      </c>
      <c r="D19" s="2">
        <v>46189</v>
      </c>
      <c r="E19" s="6" t="s">
        <v>201</v>
      </c>
      <c r="F19" s="6" t="s">
        <v>29</v>
      </c>
      <c r="G19" s="6" t="s">
        <v>240</v>
      </c>
      <c r="H19" s="5" t="s">
        <v>77</v>
      </c>
      <c r="I19" s="9">
        <v>63106</v>
      </c>
      <c r="J19" s="6" t="s">
        <v>209</v>
      </c>
      <c r="K19" s="6" t="s">
        <v>241</v>
      </c>
      <c r="L19" s="6" t="s">
        <v>177</v>
      </c>
      <c r="M19" s="10"/>
      <c r="N19">
        <f t="shared" si="0"/>
        <v>1</v>
      </c>
      <c r="O19">
        <f t="shared" si="1"/>
        <v>4</v>
      </c>
      <c r="P19" t="str">
        <f t="shared" si="2"/>
        <v/>
      </c>
    </row>
    <row r="20" spans="1:16">
      <c r="A20" s="7" t="s">
        <v>108</v>
      </c>
      <c r="B20" s="6">
        <v>1</v>
      </c>
      <c r="C20" s="6" t="s">
        <v>237</v>
      </c>
      <c r="D20" s="2">
        <v>46189</v>
      </c>
      <c r="E20" s="6" t="s">
        <v>242</v>
      </c>
      <c r="F20" s="5" t="s">
        <v>30</v>
      </c>
      <c r="G20" s="6" t="s">
        <v>243</v>
      </c>
      <c r="H20" s="6" t="s">
        <v>78</v>
      </c>
      <c r="I20" s="9">
        <v>69045</v>
      </c>
      <c r="J20" s="6" t="s">
        <v>244</v>
      </c>
      <c r="K20" s="6" t="s">
        <v>245</v>
      </c>
      <c r="L20" s="6" t="s">
        <v>177</v>
      </c>
      <c r="M20" s="10"/>
      <c r="N20">
        <f t="shared" si="0"/>
        <v>3</v>
      </c>
      <c r="O20">
        <f t="shared" si="1"/>
        <v>0</v>
      </c>
      <c r="P20" t="str">
        <f t="shared" si="2"/>
        <v/>
      </c>
    </row>
    <row r="21" spans="1:16">
      <c r="A21" s="7" t="s">
        <v>108</v>
      </c>
      <c r="B21" s="6">
        <v>1</v>
      </c>
      <c r="C21" s="6" t="s">
        <v>237</v>
      </c>
      <c r="D21" s="2">
        <v>46189</v>
      </c>
      <c r="E21" s="6" t="s">
        <v>204</v>
      </c>
      <c r="F21" s="5" t="s">
        <v>31</v>
      </c>
      <c r="G21" s="6" t="s">
        <v>238</v>
      </c>
      <c r="H21" s="6" t="s">
        <v>79</v>
      </c>
      <c r="I21" s="9">
        <v>68527</v>
      </c>
      <c r="J21" s="6" t="s">
        <v>199</v>
      </c>
      <c r="K21" s="6" t="s">
        <v>246</v>
      </c>
      <c r="L21" s="6" t="s">
        <v>177</v>
      </c>
      <c r="M21" s="10"/>
      <c r="N21">
        <f t="shared" si="0"/>
        <v>3</v>
      </c>
      <c r="O21">
        <f t="shared" si="1"/>
        <v>1</v>
      </c>
      <c r="P21" t="str">
        <f t="shared" si="2"/>
        <v/>
      </c>
    </row>
    <row r="22" spans="1:16">
      <c r="A22" s="7" t="s">
        <v>108</v>
      </c>
      <c r="B22" s="6">
        <v>1</v>
      </c>
      <c r="C22" s="6" t="s">
        <v>247</v>
      </c>
      <c r="D22" s="2">
        <v>46190</v>
      </c>
      <c r="E22" s="6" t="s">
        <v>212</v>
      </c>
      <c r="F22" s="6" t="s">
        <v>32</v>
      </c>
      <c r="G22" s="6" t="s">
        <v>190</v>
      </c>
      <c r="H22" s="6" t="s">
        <v>80</v>
      </c>
      <c r="I22" s="9">
        <v>68777</v>
      </c>
      <c r="J22" s="6" t="s">
        <v>214</v>
      </c>
      <c r="K22" s="6" t="s">
        <v>248</v>
      </c>
      <c r="L22" s="6" t="s">
        <v>177</v>
      </c>
      <c r="M22" s="10"/>
      <c r="N22">
        <f t="shared" si="0"/>
        <v>1</v>
      </c>
      <c r="O22">
        <f t="shared" si="1"/>
        <v>1</v>
      </c>
      <c r="P22" t="str">
        <f t="shared" si="2"/>
        <v/>
      </c>
    </row>
    <row r="23" spans="1:16">
      <c r="A23" s="7" t="s">
        <v>108</v>
      </c>
      <c r="B23" s="6">
        <v>1</v>
      </c>
      <c r="C23" s="6" t="s">
        <v>247</v>
      </c>
      <c r="D23" s="2">
        <v>46190</v>
      </c>
      <c r="E23" s="6" t="s">
        <v>216</v>
      </c>
      <c r="F23" s="5" t="s">
        <v>33</v>
      </c>
      <c r="G23" s="6" t="s">
        <v>249</v>
      </c>
      <c r="H23" s="6" t="s">
        <v>81</v>
      </c>
      <c r="I23" s="9">
        <v>70389</v>
      </c>
      <c r="J23" s="6" t="s">
        <v>218</v>
      </c>
      <c r="K23" s="6" t="s">
        <v>250</v>
      </c>
      <c r="L23" s="6" t="s">
        <v>177</v>
      </c>
      <c r="M23" s="10"/>
      <c r="N23">
        <f t="shared" si="0"/>
        <v>4</v>
      </c>
      <c r="O23">
        <f t="shared" si="1"/>
        <v>2</v>
      </c>
      <c r="P23" t="str">
        <f t="shared" si="2"/>
        <v/>
      </c>
    </row>
    <row r="24" spans="1:16">
      <c r="A24" s="7" t="s">
        <v>108</v>
      </c>
      <c r="B24" s="6">
        <v>1</v>
      </c>
      <c r="C24" s="6" t="s">
        <v>247</v>
      </c>
      <c r="D24" s="2">
        <v>46190</v>
      </c>
      <c r="E24" s="6" t="s">
        <v>220</v>
      </c>
      <c r="F24" s="5" t="s">
        <v>34</v>
      </c>
      <c r="G24" s="6" t="s">
        <v>221</v>
      </c>
      <c r="H24" s="6" t="s">
        <v>82</v>
      </c>
      <c r="I24" s="9">
        <v>42942</v>
      </c>
      <c r="J24" s="6" t="s">
        <v>191</v>
      </c>
      <c r="K24" s="6" t="s">
        <v>251</v>
      </c>
      <c r="L24" s="6" t="s">
        <v>177</v>
      </c>
      <c r="M24" s="10"/>
      <c r="N24">
        <f t="shared" si="0"/>
        <v>1</v>
      </c>
      <c r="O24">
        <f t="shared" si="1"/>
        <v>0</v>
      </c>
      <c r="P24" t="str">
        <f t="shared" si="2"/>
        <v/>
      </c>
    </row>
    <row r="25" spans="1:16">
      <c r="A25" s="7" t="s">
        <v>108</v>
      </c>
      <c r="B25" s="6">
        <v>1</v>
      </c>
      <c r="C25" s="6" t="s">
        <v>247</v>
      </c>
      <c r="D25" s="2">
        <v>46190</v>
      </c>
      <c r="E25" s="6" t="s">
        <v>184</v>
      </c>
      <c r="F25" s="6" t="s">
        <v>35</v>
      </c>
      <c r="G25" s="6" t="s">
        <v>252</v>
      </c>
      <c r="H25" s="5" t="s">
        <v>83</v>
      </c>
      <c r="I25" s="9">
        <v>80824</v>
      </c>
      <c r="J25" s="6" t="s">
        <v>182</v>
      </c>
      <c r="K25" s="6" t="s">
        <v>253</v>
      </c>
      <c r="L25" s="6" t="s">
        <v>177</v>
      </c>
      <c r="M25" s="10"/>
      <c r="N25">
        <f t="shared" si="0"/>
        <v>1</v>
      </c>
      <c r="O25">
        <f t="shared" si="1"/>
        <v>3</v>
      </c>
      <c r="P25" t="str">
        <f t="shared" si="2"/>
        <v/>
      </c>
    </row>
    <row r="26" spans="1:16">
      <c r="A26" s="7" t="s">
        <v>108</v>
      </c>
      <c r="B26" s="6">
        <v>2</v>
      </c>
      <c r="C26" s="6" t="s">
        <v>179</v>
      </c>
      <c r="D26" s="2">
        <v>46191</v>
      </c>
      <c r="E26" s="6" t="s">
        <v>230</v>
      </c>
      <c r="F26" s="6" t="s">
        <v>36</v>
      </c>
      <c r="G26" s="6" t="s">
        <v>190</v>
      </c>
      <c r="H26" s="6" t="s">
        <v>60</v>
      </c>
      <c r="I26" s="9">
        <v>67442</v>
      </c>
      <c r="J26" s="6" t="s">
        <v>232</v>
      </c>
      <c r="K26" s="6" t="s">
        <v>254</v>
      </c>
      <c r="L26" s="6" t="s">
        <v>177</v>
      </c>
      <c r="M26" s="10"/>
      <c r="N26">
        <f t="shared" si="0"/>
        <v>1</v>
      </c>
      <c r="O26">
        <f t="shared" si="1"/>
        <v>1</v>
      </c>
      <c r="P26" t="str">
        <f t="shared" si="2"/>
        <v/>
      </c>
    </row>
    <row r="27" spans="1:16">
      <c r="A27" s="7" t="s">
        <v>108</v>
      </c>
      <c r="B27" s="6">
        <v>2</v>
      </c>
      <c r="C27" s="6" t="s">
        <v>179</v>
      </c>
      <c r="D27" s="2">
        <v>46191</v>
      </c>
      <c r="E27" s="6" t="s">
        <v>198</v>
      </c>
      <c r="F27" s="5" t="s">
        <v>37</v>
      </c>
      <c r="G27" s="6" t="s">
        <v>194</v>
      </c>
      <c r="H27" s="6" t="s">
        <v>62</v>
      </c>
      <c r="I27" s="9">
        <v>70026</v>
      </c>
      <c r="J27" s="6" t="s">
        <v>195</v>
      </c>
      <c r="K27" s="6" t="s">
        <v>255</v>
      </c>
      <c r="L27" s="6" t="s">
        <v>177</v>
      </c>
      <c r="M27" s="10"/>
      <c r="N27">
        <f t="shared" si="0"/>
        <v>4</v>
      </c>
      <c r="O27">
        <f t="shared" si="1"/>
        <v>1</v>
      </c>
      <c r="P27" t="str">
        <f>IF(LEFT(TRIM(G27),1)="(",MID(TRIM(G27),2,FIND(")",TRIM(G27))-2)&amp;"-"&amp;MID(TRIM(G27),FIND("(",TRIM(G27),2)+1,LEN(TRIM(G27))-FIND("(",TRIM(G27),2)-1),"")</f>
        <v/>
      </c>
    </row>
    <row r="28" spans="1:16">
      <c r="A28" s="7" t="s">
        <v>108</v>
      </c>
      <c r="B28" s="6">
        <v>2</v>
      </c>
      <c r="C28" s="6" t="s">
        <v>179</v>
      </c>
      <c r="D28" s="2">
        <v>46191</v>
      </c>
      <c r="E28" s="6" t="s">
        <v>256</v>
      </c>
      <c r="F28" s="5" t="s">
        <v>14</v>
      </c>
      <c r="G28" s="6" t="s">
        <v>257</v>
      </c>
      <c r="H28" s="6" t="s">
        <v>84</v>
      </c>
      <c r="I28" s="9">
        <v>52497</v>
      </c>
      <c r="J28" s="6" t="s">
        <v>205</v>
      </c>
      <c r="K28" s="6" t="s">
        <v>258</v>
      </c>
      <c r="L28" s="6" t="s">
        <v>177</v>
      </c>
      <c r="M28" s="10"/>
      <c r="N28">
        <f t="shared" si="0"/>
        <v>6</v>
      </c>
      <c r="O28">
        <f t="shared" si="1"/>
        <v>0</v>
      </c>
      <c r="P28" t="str">
        <f t="shared" si="2"/>
        <v/>
      </c>
    </row>
    <row r="29" spans="1:16">
      <c r="A29" s="7" t="s">
        <v>108</v>
      </c>
      <c r="B29" s="6">
        <v>2</v>
      </c>
      <c r="C29" s="6" t="s">
        <v>179</v>
      </c>
      <c r="D29" s="2">
        <v>46191</v>
      </c>
      <c r="E29" s="6" t="s">
        <v>259</v>
      </c>
      <c r="F29" s="5" t="s">
        <v>12</v>
      </c>
      <c r="G29" s="6" t="s">
        <v>221</v>
      </c>
      <c r="H29" s="6" t="s">
        <v>85</v>
      </c>
      <c r="I29" s="9">
        <v>45522</v>
      </c>
      <c r="J29" s="6" t="s">
        <v>186</v>
      </c>
      <c r="K29" s="6" t="s">
        <v>260</v>
      </c>
      <c r="L29" s="6" t="s">
        <v>177</v>
      </c>
      <c r="M29" s="10"/>
      <c r="N29">
        <f t="shared" si="0"/>
        <v>1</v>
      </c>
      <c r="O29">
        <f t="shared" si="1"/>
        <v>0</v>
      </c>
      <c r="P29" t="str">
        <f t="shared" si="2"/>
        <v/>
      </c>
    </row>
    <row r="30" spans="1:16">
      <c r="A30" s="7" t="s">
        <v>108</v>
      </c>
      <c r="B30" s="6">
        <v>2</v>
      </c>
      <c r="C30" s="6" t="s">
        <v>188</v>
      </c>
      <c r="D30" s="2">
        <v>46192</v>
      </c>
      <c r="E30" s="6" t="s">
        <v>198</v>
      </c>
      <c r="F30" s="5" t="s">
        <v>15</v>
      </c>
      <c r="G30" s="6" t="s">
        <v>181</v>
      </c>
      <c r="H30" s="6" t="s">
        <v>86</v>
      </c>
      <c r="I30" s="9">
        <v>66925</v>
      </c>
      <c r="J30" s="6" t="s">
        <v>228</v>
      </c>
      <c r="K30" s="6" t="s">
        <v>261</v>
      </c>
      <c r="L30" s="6" t="s">
        <v>177</v>
      </c>
      <c r="M30" s="10"/>
      <c r="N30">
        <f t="shared" si="0"/>
        <v>2</v>
      </c>
      <c r="O30">
        <f t="shared" si="1"/>
        <v>0</v>
      </c>
      <c r="P30" t="str">
        <f t="shared" si="2"/>
        <v/>
      </c>
    </row>
    <row r="31" spans="1:16">
      <c r="A31" s="7" t="s">
        <v>108</v>
      </c>
      <c r="B31" s="6">
        <v>2</v>
      </c>
      <c r="C31" s="6" t="s">
        <v>188</v>
      </c>
      <c r="D31" s="2">
        <v>46192</v>
      </c>
      <c r="E31" s="6" t="s">
        <v>201</v>
      </c>
      <c r="F31" s="6" t="s">
        <v>38</v>
      </c>
      <c r="G31" s="6" t="s">
        <v>208</v>
      </c>
      <c r="H31" s="5" t="s">
        <v>65</v>
      </c>
      <c r="I31" s="9">
        <v>64146</v>
      </c>
      <c r="J31" s="6" t="s">
        <v>209</v>
      </c>
      <c r="K31" s="6" t="s">
        <v>262</v>
      </c>
      <c r="L31" s="6" t="s">
        <v>177</v>
      </c>
      <c r="M31" s="10"/>
      <c r="N31">
        <f t="shared" si="0"/>
        <v>0</v>
      </c>
      <c r="O31">
        <f t="shared" si="1"/>
        <v>1</v>
      </c>
      <c r="P31" t="str">
        <f t="shared" si="2"/>
        <v/>
      </c>
    </row>
    <row r="32" spans="1:16">
      <c r="A32" s="7" t="s">
        <v>108</v>
      </c>
      <c r="B32" s="6">
        <v>2</v>
      </c>
      <c r="C32" s="6" t="s">
        <v>188</v>
      </c>
      <c r="D32" s="2">
        <v>46192</v>
      </c>
      <c r="E32" s="6" t="s">
        <v>263</v>
      </c>
      <c r="F32" s="6" t="s">
        <v>39</v>
      </c>
      <c r="G32" s="6" t="s">
        <v>208</v>
      </c>
      <c r="H32" s="5" t="s">
        <v>63</v>
      </c>
      <c r="I32" s="9">
        <v>68827</v>
      </c>
      <c r="J32" s="6" t="s">
        <v>199</v>
      </c>
      <c r="K32" s="6" t="s">
        <v>264</v>
      </c>
      <c r="L32" s="6" t="s">
        <v>177</v>
      </c>
      <c r="M32" s="10"/>
      <c r="N32">
        <f t="shared" si="0"/>
        <v>0</v>
      </c>
      <c r="O32">
        <f t="shared" si="1"/>
        <v>1</v>
      </c>
      <c r="P32" t="str">
        <f t="shared" si="2"/>
        <v/>
      </c>
    </row>
    <row r="33" spans="1:16">
      <c r="A33" s="7" t="s">
        <v>108</v>
      </c>
      <c r="B33" s="6">
        <v>2</v>
      </c>
      <c r="C33" s="6" t="s">
        <v>188</v>
      </c>
      <c r="D33" s="2">
        <v>46192</v>
      </c>
      <c r="E33" s="6" t="s">
        <v>265</v>
      </c>
      <c r="F33" s="5" t="s">
        <v>17</v>
      </c>
      <c r="G33" s="6" t="s">
        <v>243</v>
      </c>
      <c r="H33" s="6" t="s">
        <v>87</v>
      </c>
      <c r="I33" s="9">
        <v>68324</v>
      </c>
      <c r="J33" s="6" t="s">
        <v>222</v>
      </c>
      <c r="K33" s="6" t="s">
        <v>266</v>
      </c>
      <c r="L33" s="6" t="s">
        <v>177</v>
      </c>
      <c r="M33" s="10"/>
      <c r="N33">
        <f t="shared" si="0"/>
        <v>3</v>
      </c>
      <c r="O33">
        <f t="shared" si="1"/>
        <v>0</v>
      </c>
      <c r="P33" t="str">
        <f t="shared" si="2"/>
        <v/>
      </c>
    </row>
    <row r="34" spans="1:16">
      <c r="A34" s="7" t="s">
        <v>108</v>
      </c>
      <c r="B34" s="6">
        <v>2</v>
      </c>
      <c r="C34" s="6" t="s">
        <v>197</v>
      </c>
      <c r="D34" s="2">
        <v>46193</v>
      </c>
      <c r="E34" s="6" t="s">
        <v>212</v>
      </c>
      <c r="F34" s="5" t="s">
        <v>21</v>
      </c>
      <c r="G34" s="6" t="s">
        <v>224</v>
      </c>
      <c r="H34" s="6" t="s">
        <v>88</v>
      </c>
      <c r="I34" s="9">
        <v>68777</v>
      </c>
      <c r="J34" s="6" t="s">
        <v>214</v>
      </c>
      <c r="K34" s="6" t="s">
        <v>267</v>
      </c>
      <c r="L34" s="6" t="s">
        <v>177</v>
      </c>
      <c r="M34" s="10"/>
      <c r="N34">
        <f t="shared" si="0"/>
        <v>5</v>
      </c>
      <c r="O34">
        <f t="shared" si="1"/>
        <v>1</v>
      </c>
      <c r="P34" t="str">
        <f t="shared" si="2"/>
        <v/>
      </c>
    </row>
    <row r="35" spans="1:16">
      <c r="A35" s="7" t="s">
        <v>108</v>
      </c>
      <c r="B35" s="6">
        <v>2</v>
      </c>
      <c r="C35" s="6" t="s">
        <v>197</v>
      </c>
      <c r="D35" s="2">
        <v>46193</v>
      </c>
      <c r="E35" s="6" t="s">
        <v>268</v>
      </c>
      <c r="F35" s="5" t="s">
        <v>20</v>
      </c>
      <c r="G35" s="6" t="s">
        <v>185</v>
      </c>
      <c r="H35" s="6" t="s">
        <v>89</v>
      </c>
      <c r="I35" s="9">
        <v>43036</v>
      </c>
      <c r="J35" s="6" t="s">
        <v>191</v>
      </c>
      <c r="K35" s="6" t="s">
        <v>269</v>
      </c>
      <c r="L35" s="6" t="s">
        <v>177</v>
      </c>
      <c r="M35" s="10"/>
      <c r="N35">
        <f t="shared" si="0"/>
        <v>2</v>
      </c>
      <c r="O35">
        <f t="shared" si="1"/>
        <v>1</v>
      </c>
      <c r="P35" t="str">
        <f t="shared" si="2"/>
        <v/>
      </c>
    </row>
    <row r="36" spans="1:16">
      <c r="A36" s="7" t="s">
        <v>108</v>
      </c>
      <c r="B36" s="6">
        <v>2</v>
      </c>
      <c r="C36" s="6" t="s">
        <v>197</v>
      </c>
      <c r="D36" s="2">
        <v>46193</v>
      </c>
      <c r="E36" s="6" t="s">
        <v>270</v>
      </c>
      <c r="F36" s="6" t="s">
        <v>40</v>
      </c>
      <c r="G36" s="6" t="s">
        <v>231</v>
      </c>
      <c r="H36" s="6" t="s">
        <v>68</v>
      </c>
      <c r="I36" s="9">
        <v>68598</v>
      </c>
      <c r="J36" s="6" t="s">
        <v>244</v>
      </c>
      <c r="K36" s="6" t="s">
        <v>271</v>
      </c>
      <c r="L36" s="6" t="s">
        <v>177</v>
      </c>
      <c r="M36" s="10"/>
      <c r="N36">
        <f t="shared" si="0"/>
        <v>0</v>
      </c>
      <c r="O36">
        <f t="shared" si="1"/>
        <v>0</v>
      </c>
      <c r="P36" t="str">
        <f t="shared" si="2"/>
        <v/>
      </c>
    </row>
    <row r="37" spans="1:16">
      <c r="A37" s="7" t="s">
        <v>108</v>
      </c>
      <c r="B37" s="6">
        <v>2</v>
      </c>
      <c r="C37" s="6" t="s">
        <v>197</v>
      </c>
      <c r="D37" s="2">
        <v>46193</v>
      </c>
      <c r="E37" s="6" t="s">
        <v>272</v>
      </c>
      <c r="F37" s="6" t="s">
        <v>41</v>
      </c>
      <c r="G37" s="6" t="s">
        <v>273</v>
      </c>
      <c r="H37" s="5" t="s">
        <v>69</v>
      </c>
      <c r="I37" s="9">
        <v>51243</v>
      </c>
      <c r="J37" s="6" t="s">
        <v>225</v>
      </c>
      <c r="K37" s="6" t="s">
        <v>274</v>
      </c>
      <c r="L37" s="6" t="s">
        <v>177</v>
      </c>
      <c r="M37" s="10"/>
      <c r="N37">
        <f t="shared" si="0"/>
        <v>0</v>
      </c>
      <c r="O37">
        <f t="shared" si="1"/>
        <v>4</v>
      </c>
      <c r="P37" t="str">
        <f t="shared" si="2"/>
        <v/>
      </c>
    </row>
    <row r="38" spans="1:16">
      <c r="A38" s="7" t="s">
        <v>108</v>
      </c>
      <c r="B38" s="6">
        <v>2</v>
      </c>
      <c r="C38" s="6" t="s">
        <v>211</v>
      </c>
      <c r="D38" s="2">
        <v>46194</v>
      </c>
      <c r="E38" s="6" t="s">
        <v>230</v>
      </c>
      <c r="F38" s="5" t="s">
        <v>25</v>
      </c>
      <c r="G38" s="6" t="s">
        <v>275</v>
      </c>
      <c r="H38" s="6" t="s">
        <v>90</v>
      </c>
      <c r="I38" s="9">
        <v>68239</v>
      </c>
      <c r="J38" s="6" t="s">
        <v>232</v>
      </c>
      <c r="K38" s="6" t="s">
        <v>276</v>
      </c>
      <c r="L38" s="6" t="s">
        <v>177</v>
      </c>
      <c r="M38" s="10"/>
      <c r="N38">
        <f t="shared" si="0"/>
        <v>4</v>
      </c>
      <c r="O38">
        <f t="shared" si="1"/>
        <v>0</v>
      </c>
      <c r="P38" t="str">
        <f t="shared" si="2"/>
        <v/>
      </c>
    </row>
    <row r="39" spans="1:16">
      <c r="A39" s="7" t="s">
        <v>108</v>
      </c>
      <c r="B39" s="6">
        <v>2</v>
      </c>
      <c r="C39" s="6" t="s">
        <v>211</v>
      </c>
      <c r="D39" s="2">
        <v>46194</v>
      </c>
      <c r="E39" s="6" t="s">
        <v>198</v>
      </c>
      <c r="F39" s="6" t="s">
        <v>24</v>
      </c>
      <c r="G39" s="6" t="s">
        <v>231</v>
      </c>
      <c r="H39" s="6" t="s">
        <v>91</v>
      </c>
      <c r="I39" s="9">
        <v>70317</v>
      </c>
      <c r="J39" s="6" t="s">
        <v>195</v>
      </c>
      <c r="K39" s="6" t="s">
        <v>277</v>
      </c>
      <c r="L39" s="6" t="s">
        <v>177</v>
      </c>
      <c r="M39" s="10"/>
      <c r="N39">
        <f t="shared" si="0"/>
        <v>0</v>
      </c>
      <c r="O39">
        <f t="shared" si="1"/>
        <v>0</v>
      </c>
      <c r="P39" t="str">
        <f t="shared" si="2"/>
        <v/>
      </c>
    </row>
    <row r="40" spans="1:16">
      <c r="A40" s="7" t="s">
        <v>108</v>
      </c>
      <c r="B40" s="6">
        <v>2</v>
      </c>
      <c r="C40" s="6" t="s">
        <v>211</v>
      </c>
      <c r="D40" s="2">
        <v>46194</v>
      </c>
      <c r="E40" s="6" t="s">
        <v>201</v>
      </c>
      <c r="F40" s="6" t="s">
        <v>42</v>
      </c>
      <c r="G40" s="6" t="s">
        <v>217</v>
      </c>
      <c r="H40" s="6" t="s">
        <v>73</v>
      </c>
      <c r="I40" s="9">
        <v>64003</v>
      </c>
      <c r="J40" s="6" t="s">
        <v>234</v>
      </c>
      <c r="K40" s="6" t="s">
        <v>278</v>
      </c>
      <c r="L40" s="6" t="s">
        <v>177</v>
      </c>
      <c r="M40" s="10"/>
      <c r="N40">
        <f t="shared" si="0"/>
        <v>2</v>
      </c>
      <c r="O40">
        <f t="shared" si="1"/>
        <v>2</v>
      </c>
      <c r="P40" t="str">
        <f t="shared" si="2"/>
        <v/>
      </c>
    </row>
    <row r="41" spans="1:16">
      <c r="A41" s="7" t="s">
        <v>108</v>
      </c>
      <c r="B41" s="6">
        <v>2</v>
      </c>
      <c r="C41" s="6" t="s">
        <v>211</v>
      </c>
      <c r="D41" s="2">
        <v>46194</v>
      </c>
      <c r="E41" s="6" t="s">
        <v>193</v>
      </c>
      <c r="F41" s="6" t="s">
        <v>43</v>
      </c>
      <c r="G41" s="6" t="s">
        <v>252</v>
      </c>
      <c r="H41" s="5" t="s">
        <v>72</v>
      </c>
      <c r="I41" s="9">
        <v>52497</v>
      </c>
      <c r="J41" s="6" t="s">
        <v>205</v>
      </c>
      <c r="K41" s="6" t="s">
        <v>279</v>
      </c>
      <c r="L41" s="6" t="s">
        <v>177</v>
      </c>
      <c r="M41" s="10"/>
      <c r="N41">
        <f t="shared" si="0"/>
        <v>1</v>
      </c>
      <c r="O41">
        <f t="shared" si="1"/>
        <v>3</v>
      </c>
      <c r="P41" t="str">
        <f>IF(LEFT(TRIM(G41),1)="(",MID(TRIM(G41),2,FIND(")",TRIM(G41))-2)&amp;"-"&amp;MID(TRIM(G41),FIND("(",TRIM(G41),2)+1,LEN(TRIM(G41))-FIND("(",TRIM(G41),2)-1),"")</f>
        <v/>
      </c>
    </row>
    <row r="42" spans="1:16">
      <c r="A42" s="7" t="s">
        <v>108</v>
      </c>
      <c r="B42" s="6">
        <v>2</v>
      </c>
      <c r="C42" s="6" t="s">
        <v>227</v>
      </c>
      <c r="D42" s="2">
        <v>46195</v>
      </c>
      <c r="E42" s="6" t="s">
        <v>212</v>
      </c>
      <c r="F42" s="5" t="s">
        <v>30</v>
      </c>
      <c r="G42" s="6" t="s">
        <v>181</v>
      </c>
      <c r="H42" s="6" t="s">
        <v>92</v>
      </c>
      <c r="I42" s="9">
        <v>70649</v>
      </c>
      <c r="J42" s="6" t="s">
        <v>218</v>
      </c>
      <c r="K42" s="6" t="s">
        <v>187</v>
      </c>
      <c r="L42" s="6" t="s">
        <v>177</v>
      </c>
      <c r="M42" s="10"/>
      <c r="N42">
        <f t="shared" si="0"/>
        <v>2</v>
      </c>
      <c r="O42">
        <f t="shared" si="1"/>
        <v>0</v>
      </c>
      <c r="P42" t="str">
        <f t="shared" si="2"/>
        <v/>
      </c>
    </row>
    <row r="43" spans="1:16">
      <c r="A43" s="7" t="s">
        <v>108</v>
      </c>
      <c r="B43" s="6">
        <v>2</v>
      </c>
      <c r="C43" s="6" t="s">
        <v>227</v>
      </c>
      <c r="D43" s="2">
        <v>46195</v>
      </c>
      <c r="E43" s="6" t="s">
        <v>280</v>
      </c>
      <c r="F43" s="5" t="s">
        <v>28</v>
      </c>
      <c r="G43" s="6" t="s">
        <v>243</v>
      </c>
      <c r="H43" s="6" t="s">
        <v>93</v>
      </c>
      <c r="I43" s="9">
        <v>68324</v>
      </c>
      <c r="J43" s="6" t="s">
        <v>222</v>
      </c>
      <c r="K43" s="6" t="s">
        <v>281</v>
      </c>
      <c r="L43" s="6" t="s">
        <v>177</v>
      </c>
      <c r="M43" s="10"/>
      <c r="N43">
        <f t="shared" si="0"/>
        <v>3</v>
      </c>
      <c r="O43">
        <f t="shared" si="1"/>
        <v>0</v>
      </c>
      <c r="P43" t="str">
        <f t="shared" si="2"/>
        <v/>
      </c>
    </row>
    <row r="44" spans="1:16">
      <c r="A44" s="7" t="s">
        <v>108</v>
      </c>
      <c r="B44" s="6">
        <v>2</v>
      </c>
      <c r="C44" s="6" t="s">
        <v>227</v>
      </c>
      <c r="D44" s="2">
        <v>46195</v>
      </c>
      <c r="E44" s="6" t="s">
        <v>282</v>
      </c>
      <c r="F44" s="5" t="s">
        <v>44</v>
      </c>
      <c r="G44" s="6" t="s">
        <v>283</v>
      </c>
      <c r="H44" s="6" t="s">
        <v>76</v>
      </c>
      <c r="I44" s="9">
        <v>80663</v>
      </c>
      <c r="J44" s="6" t="s">
        <v>202</v>
      </c>
      <c r="K44" s="6" t="s">
        <v>183</v>
      </c>
      <c r="L44" s="6" t="s">
        <v>177</v>
      </c>
      <c r="M44" s="10"/>
      <c r="N44">
        <f t="shared" si="0"/>
        <v>3</v>
      </c>
      <c r="O44">
        <f t="shared" si="1"/>
        <v>2</v>
      </c>
      <c r="P44" t="str">
        <f t="shared" si="2"/>
        <v/>
      </c>
    </row>
    <row r="45" spans="1:16">
      <c r="A45" s="7" t="s">
        <v>108</v>
      </c>
      <c r="B45" s="6">
        <v>2</v>
      </c>
      <c r="C45" s="6" t="s">
        <v>227</v>
      </c>
      <c r="D45" s="2">
        <v>46195</v>
      </c>
      <c r="E45" s="6" t="s">
        <v>263</v>
      </c>
      <c r="F45" s="6" t="s">
        <v>45</v>
      </c>
      <c r="G45" s="6" t="s">
        <v>284</v>
      </c>
      <c r="H45" s="5" t="s">
        <v>78</v>
      </c>
      <c r="I45" s="9">
        <v>68371</v>
      </c>
      <c r="J45" s="6" t="s">
        <v>199</v>
      </c>
      <c r="K45" s="6" t="s">
        <v>203</v>
      </c>
      <c r="L45" s="6" t="s">
        <v>177</v>
      </c>
      <c r="M45" s="10"/>
      <c r="N45">
        <f t="shared" si="0"/>
        <v>1</v>
      </c>
      <c r="O45">
        <f t="shared" si="1"/>
        <v>2</v>
      </c>
      <c r="P45" t="str">
        <f t="shared" si="2"/>
        <v/>
      </c>
    </row>
    <row r="46" spans="1:16">
      <c r="A46" s="7" t="s">
        <v>108</v>
      </c>
      <c r="B46" s="6">
        <v>2</v>
      </c>
      <c r="C46" s="6" t="s">
        <v>237</v>
      </c>
      <c r="D46" s="2">
        <v>46196</v>
      </c>
      <c r="E46" s="6" t="s">
        <v>212</v>
      </c>
      <c r="F46" s="5" t="s">
        <v>32</v>
      </c>
      <c r="G46" s="6" t="s">
        <v>285</v>
      </c>
      <c r="H46" s="6" t="s">
        <v>94</v>
      </c>
      <c r="I46" s="9">
        <v>68777</v>
      </c>
      <c r="J46" s="6" t="s">
        <v>214</v>
      </c>
      <c r="K46" s="6" t="s">
        <v>286</v>
      </c>
      <c r="L46" s="6" t="s">
        <v>177</v>
      </c>
      <c r="M46" s="10"/>
      <c r="N46">
        <f t="shared" si="0"/>
        <v>5</v>
      </c>
      <c r="O46">
        <f t="shared" si="1"/>
        <v>0</v>
      </c>
      <c r="P46" t="str">
        <f t="shared" si="2"/>
        <v/>
      </c>
    </row>
    <row r="47" spans="1:16">
      <c r="A47" s="7" t="s">
        <v>108</v>
      </c>
      <c r="B47" s="6">
        <v>2</v>
      </c>
      <c r="C47" s="6" t="s">
        <v>237</v>
      </c>
      <c r="D47" s="2">
        <v>46196</v>
      </c>
      <c r="E47" s="6" t="s">
        <v>268</v>
      </c>
      <c r="F47" s="6" t="s">
        <v>33</v>
      </c>
      <c r="G47" s="6" t="s">
        <v>231</v>
      </c>
      <c r="H47" s="6" t="s">
        <v>95</v>
      </c>
      <c r="I47" s="9">
        <v>63983</v>
      </c>
      <c r="J47" s="6" t="s">
        <v>209</v>
      </c>
      <c r="K47" s="6" t="s">
        <v>200</v>
      </c>
      <c r="L47" s="6" t="s">
        <v>177</v>
      </c>
      <c r="M47" s="10"/>
      <c r="N47">
        <f t="shared" si="0"/>
        <v>0</v>
      </c>
      <c r="O47">
        <f t="shared" si="1"/>
        <v>0</v>
      </c>
      <c r="P47" t="str">
        <f t="shared" si="2"/>
        <v/>
      </c>
    </row>
    <row r="48" spans="1:16">
      <c r="A48" s="7" t="s">
        <v>108</v>
      </c>
      <c r="B48" s="6">
        <v>2</v>
      </c>
      <c r="C48" s="6" t="s">
        <v>237</v>
      </c>
      <c r="D48" s="2">
        <v>46196</v>
      </c>
      <c r="E48" s="6" t="s">
        <v>220</v>
      </c>
      <c r="F48" s="6" t="s">
        <v>46</v>
      </c>
      <c r="G48" s="6" t="s">
        <v>208</v>
      </c>
      <c r="H48" s="5" t="s">
        <v>81</v>
      </c>
      <c r="I48" s="9">
        <v>43036</v>
      </c>
      <c r="J48" s="6" t="s">
        <v>191</v>
      </c>
      <c r="K48" s="6" t="s">
        <v>241</v>
      </c>
      <c r="L48" s="6" t="s">
        <v>177</v>
      </c>
      <c r="M48" s="10"/>
      <c r="N48">
        <f t="shared" si="0"/>
        <v>0</v>
      </c>
      <c r="O48">
        <f t="shared" si="1"/>
        <v>1</v>
      </c>
      <c r="P48" t="str">
        <f t="shared" si="2"/>
        <v/>
      </c>
    </row>
    <row r="49" spans="1:16">
      <c r="A49" s="7" t="s">
        <v>108</v>
      </c>
      <c r="B49" s="6">
        <v>2</v>
      </c>
      <c r="C49" s="6" t="s">
        <v>237</v>
      </c>
      <c r="D49" s="2">
        <v>46196</v>
      </c>
      <c r="E49" s="6" t="s">
        <v>184</v>
      </c>
      <c r="F49" s="5" t="s">
        <v>47</v>
      </c>
      <c r="G49" s="6" t="s">
        <v>221</v>
      </c>
      <c r="H49" s="6" t="s">
        <v>80</v>
      </c>
      <c r="I49" s="9">
        <v>45358</v>
      </c>
      <c r="J49" s="6" t="s">
        <v>186</v>
      </c>
      <c r="K49" s="6" t="s">
        <v>235</v>
      </c>
      <c r="L49" s="6" t="s">
        <v>177</v>
      </c>
      <c r="M49" s="10"/>
      <c r="N49">
        <f t="shared" si="0"/>
        <v>1</v>
      </c>
      <c r="O49">
        <f t="shared" si="1"/>
        <v>0</v>
      </c>
      <c r="P49" t="str">
        <f t="shared" si="2"/>
        <v/>
      </c>
    </row>
    <row r="50" spans="1:16">
      <c r="A50" s="7" t="s">
        <v>108</v>
      </c>
      <c r="B50" s="6">
        <v>3</v>
      </c>
      <c r="C50" s="6" t="s">
        <v>247</v>
      </c>
      <c r="D50" s="2">
        <v>46197</v>
      </c>
      <c r="E50" s="6" t="s">
        <v>198</v>
      </c>
      <c r="F50" s="5" t="s">
        <v>37</v>
      </c>
      <c r="G50" s="6" t="s">
        <v>185</v>
      </c>
      <c r="H50" s="6" t="s">
        <v>96</v>
      </c>
      <c r="I50" s="9">
        <v>52497</v>
      </c>
      <c r="J50" s="6" t="s">
        <v>205</v>
      </c>
      <c r="K50" s="6" t="s">
        <v>229</v>
      </c>
      <c r="L50" s="6" t="s">
        <v>177</v>
      </c>
      <c r="M50" s="10"/>
      <c r="N50">
        <f t="shared" si="0"/>
        <v>2</v>
      </c>
      <c r="O50">
        <f t="shared" si="1"/>
        <v>1</v>
      </c>
      <c r="P50" t="str">
        <f t="shared" si="2"/>
        <v/>
      </c>
    </row>
    <row r="51" spans="1:16">
      <c r="A51" s="7" t="s">
        <v>108</v>
      </c>
      <c r="B51" s="6">
        <v>3</v>
      </c>
      <c r="C51" s="6" t="s">
        <v>247</v>
      </c>
      <c r="D51" s="2">
        <v>46197</v>
      </c>
      <c r="E51" s="6" t="s">
        <v>198</v>
      </c>
      <c r="F51" s="5" t="s">
        <v>48</v>
      </c>
      <c r="G51" s="6" t="s">
        <v>238</v>
      </c>
      <c r="H51" s="6" t="s">
        <v>84</v>
      </c>
      <c r="I51" s="9">
        <v>66925</v>
      </c>
      <c r="J51" s="6" t="s">
        <v>228</v>
      </c>
      <c r="K51" s="6" t="s">
        <v>206</v>
      </c>
      <c r="L51" s="6" t="s">
        <v>177</v>
      </c>
      <c r="M51" s="10"/>
      <c r="N51">
        <f t="shared" si="0"/>
        <v>3</v>
      </c>
      <c r="O51">
        <f t="shared" si="1"/>
        <v>1</v>
      </c>
      <c r="P51" t="str">
        <f t="shared" si="2"/>
        <v/>
      </c>
    </row>
    <row r="52" spans="1:16">
      <c r="A52" s="7" t="s">
        <v>108</v>
      </c>
      <c r="B52" s="6">
        <v>3</v>
      </c>
      <c r="C52" s="6" t="s">
        <v>247</v>
      </c>
      <c r="D52" s="2">
        <v>46197</v>
      </c>
      <c r="E52" s="6" t="s">
        <v>201</v>
      </c>
      <c r="F52" s="6" t="s">
        <v>38</v>
      </c>
      <c r="G52" s="6" t="s">
        <v>287</v>
      </c>
      <c r="H52" s="5" t="s">
        <v>97</v>
      </c>
      <c r="I52" s="9">
        <v>64478</v>
      </c>
      <c r="J52" s="6" t="s">
        <v>234</v>
      </c>
      <c r="K52" s="6" t="s">
        <v>236</v>
      </c>
      <c r="L52" s="6" t="s">
        <v>177</v>
      </c>
      <c r="M52" s="10"/>
      <c r="N52">
        <f t="shared" si="0"/>
        <v>0</v>
      </c>
      <c r="O52">
        <f t="shared" si="1"/>
        <v>3</v>
      </c>
      <c r="P52" t="str">
        <f t="shared" si="2"/>
        <v/>
      </c>
    </row>
    <row r="53" spans="1:16">
      <c r="A53" s="7" t="s">
        <v>108</v>
      </c>
      <c r="B53" s="6">
        <v>3</v>
      </c>
      <c r="C53" s="6" t="s">
        <v>247</v>
      </c>
      <c r="D53" s="2">
        <v>46197</v>
      </c>
      <c r="E53" s="6" t="s">
        <v>201</v>
      </c>
      <c r="F53" s="5" t="s">
        <v>49</v>
      </c>
      <c r="G53" s="6" t="s">
        <v>249</v>
      </c>
      <c r="H53" s="6" t="s">
        <v>87</v>
      </c>
      <c r="I53" s="9">
        <v>68239</v>
      </c>
      <c r="J53" s="6" t="s">
        <v>232</v>
      </c>
      <c r="K53" s="6" t="s">
        <v>196</v>
      </c>
      <c r="L53" s="6" t="s">
        <v>177</v>
      </c>
      <c r="M53" s="10"/>
      <c r="N53">
        <f t="shared" si="0"/>
        <v>4</v>
      </c>
      <c r="O53">
        <f t="shared" si="1"/>
        <v>2</v>
      </c>
      <c r="P53" t="str">
        <f t="shared" si="2"/>
        <v/>
      </c>
    </row>
    <row r="54" spans="1:16">
      <c r="A54" s="7" t="s">
        <v>108</v>
      </c>
      <c r="B54" s="6">
        <v>3</v>
      </c>
      <c r="C54" s="6" t="s">
        <v>247</v>
      </c>
      <c r="D54" s="2">
        <v>46197</v>
      </c>
      <c r="E54" s="6" t="s">
        <v>259</v>
      </c>
      <c r="F54" s="5" t="s">
        <v>50</v>
      </c>
      <c r="G54" s="6" t="s">
        <v>221</v>
      </c>
      <c r="H54" s="6" t="s">
        <v>85</v>
      </c>
      <c r="I54" s="9">
        <v>51243</v>
      </c>
      <c r="J54" s="6" t="s">
        <v>225</v>
      </c>
      <c r="K54" s="6" t="s">
        <v>192</v>
      </c>
      <c r="L54" s="6" t="s">
        <v>177</v>
      </c>
      <c r="M54" s="10"/>
      <c r="N54">
        <f t="shared" si="0"/>
        <v>1</v>
      </c>
      <c r="O54">
        <f t="shared" si="1"/>
        <v>0</v>
      </c>
      <c r="P54" t="str">
        <f t="shared" si="2"/>
        <v/>
      </c>
    </row>
    <row r="55" spans="1:16">
      <c r="A55" s="7" t="s">
        <v>108</v>
      </c>
      <c r="B55" s="6">
        <v>3</v>
      </c>
      <c r="C55" s="6" t="s">
        <v>247</v>
      </c>
      <c r="D55" s="2">
        <v>46197</v>
      </c>
      <c r="E55" s="6" t="s">
        <v>259</v>
      </c>
      <c r="F55" s="6" t="s">
        <v>36</v>
      </c>
      <c r="G55" s="6" t="s">
        <v>287</v>
      </c>
      <c r="H55" s="5" t="s">
        <v>98</v>
      </c>
      <c r="I55" s="9">
        <v>80824</v>
      </c>
      <c r="J55" s="6" t="s">
        <v>182</v>
      </c>
      <c r="K55" s="6" t="s">
        <v>226</v>
      </c>
      <c r="L55" s="6" t="s">
        <v>177</v>
      </c>
      <c r="M55" s="10"/>
      <c r="N55">
        <f t="shared" si="0"/>
        <v>0</v>
      </c>
      <c r="O55">
        <f t="shared" si="1"/>
        <v>3</v>
      </c>
      <c r="P55" t="str">
        <f t="shared" si="2"/>
        <v/>
      </c>
    </row>
    <row r="56" spans="1:16">
      <c r="A56" s="7" t="s">
        <v>108</v>
      </c>
      <c r="B56" s="6">
        <v>3</v>
      </c>
      <c r="C56" s="6" t="s">
        <v>179</v>
      </c>
      <c r="D56" s="2">
        <v>46198</v>
      </c>
      <c r="E56" s="6" t="s">
        <v>268</v>
      </c>
      <c r="F56" s="6" t="s">
        <v>51</v>
      </c>
      <c r="G56" s="6" t="s">
        <v>288</v>
      </c>
      <c r="H56" s="5" t="s">
        <v>89</v>
      </c>
      <c r="I56" s="9">
        <v>68324</v>
      </c>
      <c r="J56" s="6" t="s">
        <v>222</v>
      </c>
      <c r="K56" s="6" t="s">
        <v>251</v>
      </c>
      <c r="L56" s="6" t="s">
        <v>177</v>
      </c>
      <c r="M56" s="10"/>
      <c r="N56">
        <f t="shared" si="0"/>
        <v>0</v>
      </c>
      <c r="O56">
        <f t="shared" si="1"/>
        <v>2</v>
      </c>
      <c r="P56" t="str">
        <f t="shared" si="2"/>
        <v/>
      </c>
    </row>
    <row r="57" spans="1:16">
      <c r="A57" s="7" t="s">
        <v>108</v>
      </c>
      <c r="B57" s="6">
        <v>3</v>
      </c>
      <c r="C57" s="6" t="s">
        <v>179</v>
      </c>
      <c r="D57" s="2">
        <v>46198</v>
      </c>
      <c r="E57" s="6" t="s">
        <v>268</v>
      </c>
      <c r="F57" s="5" t="s">
        <v>40</v>
      </c>
      <c r="G57" s="6" t="s">
        <v>185</v>
      </c>
      <c r="H57" s="6" t="s">
        <v>99</v>
      </c>
      <c r="I57" s="9">
        <v>80663</v>
      </c>
      <c r="J57" s="6" t="s">
        <v>202</v>
      </c>
      <c r="K57" s="6" t="s">
        <v>254</v>
      </c>
      <c r="L57" s="6" t="s">
        <v>177</v>
      </c>
      <c r="M57" s="10"/>
      <c r="N57">
        <f t="shared" si="0"/>
        <v>2</v>
      </c>
      <c r="O57">
        <f t="shared" si="1"/>
        <v>1</v>
      </c>
      <c r="P57" t="str">
        <f t="shared" si="2"/>
        <v/>
      </c>
    </row>
    <row r="58" spans="1:16">
      <c r="A58" s="7" t="s">
        <v>108</v>
      </c>
      <c r="B58" s="6">
        <v>3</v>
      </c>
      <c r="C58" s="6" t="s">
        <v>179</v>
      </c>
      <c r="D58" s="2">
        <v>46198</v>
      </c>
      <c r="E58" s="6" t="s">
        <v>289</v>
      </c>
      <c r="F58" s="6" t="s">
        <v>41</v>
      </c>
      <c r="G58" s="6" t="s">
        <v>252</v>
      </c>
      <c r="H58" s="5" t="s">
        <v>100</v>
      </c>
      <c r="I58" s="9">
        <v>68391</v>
      </c>
      <c r="J58" s="6" t="s">
        <v>244</v>
      </c>
      <c r="K58" s="6" t="s">
        <v>290</v>
      </c>
      <c r="L58" s="6" t="s">
        <v>177</v>
      </c>
      <c r="M58" s="10"/>
      <c r="N58">
        <f t="shared" si="0"/>
        <v>1</v>
      </c>
      <c r="O58">
        <f t="shared" si="1"/>
        <v>3</v>
      </c>
      <c r="P58" t="str">
        <f>IF(LEFT(TRIM(G58),1)="(",MID(TRIM(G58),2,FIND(")",TRIM(G58))-2)&amp;"-"&amp;MID(TRIM(G58),FIND("(",TRIM(G58),2)+1,LEN(TRIM(G58))-FIND("(",TRIM(G58),2)-1),"")</f>
        <v/>
      </c>
    </row>
    <row r="59" spans="1:16">
      <c r="A59" s="7" t="s">
        <v>108</v>
      </c>
      <c r="B59" s="6">
        <v>3</v>
      </c>
      <c r="C59" s="6" t="s">
        <v>179</v>
      </c>
      <c r="D59" s="2">
        <v>46198</v>
      </c>
      <c r="E59" s="6" t="s">
        <v>289</v>
      </c>
      <c r="F59" s="6" t="s">
        <v>52</v>
      </c>
      <c r="G59" s="6" t="s">
        <v>190</v>
      </c>
      <c r="H59" s="6" t="s">
        <v>88</v>
      </c>
      <c r="I59" s="9">
        <v>70137</v>
      </c>
      <c r="J59" s="6" t="s">
        <v>218</v>
      </c>
      <c r="K59" s="6" t="s">
        <v>264</v>
      </c>
      <c r="L59" s="6" t="s">
        <v>177</v>
      </c>
      <c r="M59" s="10"/>
      <c r="N59">
        <f t="shared" si="0"/>
        <v>1</v>
      </c>
      <c r="O59">
        <f>VALUE(TRIM(LEFT(MID(SUBSTITUTE(G59,_xlfn.UNICHAR(8211),"-"),FIND("-",SUBSTITUTE(G59,_xlfn.UNICHAR(8211),"-"))+1,100),2)))</f>
        <v>1</v>
      </c>
      <c r="P59" t="str">
        <f t="shared" si="2"/>
        <v/>
      </c>
    </row>
    <row r="60" spans="1:16">
      <c r="A60" s="7" t="s">
        <v>108</v>
      </c>
      <c r="B60" s="6">
        <v>3</v>
      </c>
      <c r="C60" s="6" t="s">
        <v>179</v>
      </c>
      <c r="D60" s="2">
        <v>46198</v>
      </c>
      <c r="E60" s="6" t="s">
        <v>291</v>
      </c>
      <c r="F60" s="5" t="s">
        <v>39</v>
      </c>
      <c r="G60" s="6" t="s">
        <v>283</v>
      </c>
      <c r="H60" s="6" t="s">
        <v>101</v>
      </c>
      <c r="I60" s="9">
        <v>70492</v>
      </c>
      <c r="J60" s="6" t="s">
        <v>195</v>
      </c>
      <c r="K60" s="6" t="s">
        <v>210</v>
      </c>
      <c r="L60" s="6" t="s">
        <v>177</v>
      </c>
      <c r="M60" s="10"/>
      <c r="N60">
        <f t="shared" si="0"/>
        <v>3</v>
      </c>
      <c r="O60">
        <f t="shared" si="1"/>
        <v>2</v>
      </c>
      <c r="P60" t="str">
        <f t="shared" si="2"/>
        <v/>
      </c>
    </row>
    <row r="61" spans="1:16">
      <c r="A61" s="7" t="s">
        <v>108</v>
      </c>
      <c r="B61" s="6">
        <v>3</v>
      </c>
      <c r="C61" s="6" t="s">
        <v>179</v>
      </c>
      <c r="D61" s="2">
        <v>46198</v>
      </c>
      <c r="E61" s="6" t="s">
        <v>291</v>
      </c>
      <c r="F61" s="6" t="s">
        <v>53</v>
      </c>
      <c r="G61" s="6" t="s">
        <v>231</v>
      </c>
      <c r="H61" s="6" t="s">
        <v>86</v>
      </c>
      <c r="I61" s="9">
        <v>68827</v>
      </c>
      <c r="J61" s="6" t="s">
        <v>199</v>
      </c>
      <c r="K61" s="6" t="s">
        <v>250</v>
      </c>
      <c r="L61" s="6" t="s">
        <v>177</v>
      </c>
      <c r="M61" s="10"/>
      <c r="N61">
        <f t="shared" si="0"/>
        <v>0</v>
      </c>
      <c r="O61">
        <f t="shared" si="1"/>
        <v>0</v>
      </c>
      <c r="P61" t="str">
        <f t="shared" si="2"/>
        <v/>
      </c>
    </row>
    <row r="62" spans="1:16">
      <c r="A62" s="7" t="s">
        <v>108</v>
      </c>
      <c r="B62" s="6">
        <v>3</v>
      </c>
      <c r="C62" s="6" t="s">
        <v>188</v>
      </c>
      <c r="D62" s="2">
        <v>46199</v>
      </c>
      <c r="E62" s="6" t="s">
        <v>189</v>
      </c>
      <c r="F62" s="6" t="s">
        <v>44</v>
      </c>
      <c r="G62" s="6" t="s">
        <v>240</v>
      </c>
      <c r="H62" s="5" t="s">
        <v>102</v>
      </c>
      <c r="I62" s="9">
        <v>64146</v>
      </c>
      <c r="J62" s="6" t="s">
        <v>209</v>
      </c>
      <c r="K62" s="6" t="s">
        <v>267</v>
      </c>
      <c r="L62" s="6" t="s">
        <v>177</v>
      </c>
      <c r="M62" s="10"/>
      <c r="N62">
        <f t="shared" si="0"/>
        <v>1</v>
      </c>
      <c r="O62">
        <f t="shared" si="1"/>
        <v>4</v>
      </c>
      <c r="P62" t="str">
        <f t="shared" si="2"/>
        <v/>
      </c>
    </row>
    <row r="63" spans="1:16">
      <c r="A63" s="7" t="s">
        <v>108</v>
      </c>
      <c r="B63" s="6">
        <v>3</v>
      </c>
      <c r="C63" s="6" t="s">
        <v>188</v>
      </c>
      <c r="D63" s="2">
        <v>46199</v>
      </c>
      <c r="E63" s="6" t="s">
        <v>189</v>
      </c>
      <c r="F63" s="5" t="s">
        <v>54</v>
      </c>
      <c r="G63" s="6" t="s">
        <v>285</v>
      </c>
      <c r="H63" s="6" t="s">
        <v>93</v>
      </c>
      <c r="I63" s="9">
        <v>43036</v>
      </c>
      <c r="J63" s="6" t="s">
        <v>191</v>
      </c>
      <c r="K63" s="6" t="s">
        <v>253</v>
      </c>
      <c r="L63" s="6" t="s">
        <v>177</v>
      </c>
      <c r="M63" s="10"/>
      <c r="N63">
        <f t="shared" si="0"/>
        <v>5</v>
      </c>
      <c r="O63">
        <f t="shared" si="1"/>
        <v>0</v>
      </c>
      <c r="P63" t="str">
        <f t="shared" si="2"/>
        <v/>
      </c>
    </row>
    <row r="64" spans="1:16">
      <c r="A64" s="7" t="s">
        <v>108</v>
      </c>
      <c r="B64" s="6">
        <v>3</v>
      </c>
      <c r="C64" s="6" t="s">
        <v>188</v>
      </c>
      <c r="D64" s="2">
        <v>46199</v>
      </c>
      <c r="E64" s="6" t="s">
        <v>292</v>
      </c>
      <c r="F64" s="6" t="s">
        <v>42</v>
      </c>
      <c r="G64" s="6" t="s">
        <v>208</v>
      </c>
      <c r="H64" s="5" t="s">
        <v>103</v>
      </c>
      <c r="I64" s="9">
        <v>45065</v>
      </c>
      <c r="J64" s="6" t="s">
        <v>186</v>
      </c>
      <c r="K64" s="6" t="s">
        <v>219</v>
      </c>
      <c r="L64" s="6" t="s">
        <v>177</v>
      </c>
      <c r="M64" s="10"/>
      <c r="N64">
        <f t="shared" si="0"/>
        <v>0</v>
      </c>
      <c r="O64">
        <f t="shared" si="1"/>
        <v>1</v>
      </c>
      <c r="P64" t="str">
        <f t="shared" si="2"/>
        <v/>
      </c>
    </row>
    <row r="65" spans="1:16">
      <c r="A65" s="7" t="s">
        <v>108</v>
      </c>
      <c r="B65" s="6">
        <v>3</v>
      </c>
      <c r="C65" s="6" t="s">
        <v>188</v>
      </c>
      <c r="D65" s="2">
        <v>46199</v>
      </c>
      <c r="E65" s="6" t="s">
        <v>270</v>
      </c>
      <c r="F65" s="6" t="s">
        <v>55</v>
      </c>
      <c r="G65" s="6" t="s">
        <v>231</v>
      </c>
      <c r="H65" s="6" t="s">
        <v>90</v>
      </c>
      <c r="I65" s="9">
        <v>68278</v>
      </c>
      <c r="J65" s="6" t="s">
        <v>214</v>
      </c>
      <c r="K65" s="6" t="s">
        <v>223</v>
      </c>
      <c r="L65" s="6" t="s">
        <v>177</v>
      </c>
      <c r="M65" s="10"/>
      <c r="N65">
        <f t="shared" si="0"/>
        <v>0</v>
      </c>
      <c r="O65">
        <f t="shared" si="1"/>
        <v>0</v>
      </c>
      <c r="P65" t="str">
        <f t="shared" si="2"/>
        <v/>
      </c>
    </row>
    <row r="66" spans="1:16">
      <c r="A66" s="7" t="s">
        <v>108</v>
      </c>
      <c r="B66" s="6">
        <v>3</v>
      </c>
      <c r="C66" s="6" t="s">
        <v>188</v>
      </c>
      <c r="D66" s="2">
        <v>46199</v>
      </c>
      <c r="E66" s="6" t="s">
        <v>263</v>
      </c>
      <c r="F66" s="6" t="s">
        <v>56</v>
      </c>
      <c r="G66" s="6" t="s">
        <v>190</v>
      </c>
      <c r="H66" s="6" t="s">
        <v>91</v>
      </c>
      <c r="I66" s="9">
        <v>66925</v>
      </c>
      <c r="J66" s="6" t="s">
        <v>228</v>
      </c>
      <c r="K66" s="6" t="s">
        <v>245</v>
      </c>
      <c r="L66" s="6" t="s">
        <v>177</v>
      </c>
      <c r="M66" s="10"/>
      <c r="N66">
        <f t="shared" si="0"/>
        <v>1</v>
      </c>
      <c r="O66">
        <f t="shared" si="1"/>
        <v>1</v>
      </c>
      <c r="P66" t="str">
        <f t="shared" si="2"/>
        <v/>
      </c>
    </row>
    <row r="67" spans="1:16">
      <c r="A67" s="7" t="s">
        <v>108</v>
      </c>
      <c r="B67" s="6">
        <v>3</v>
      </c>
      <c r="C67" s="6" t="s">
        <v>188</v>
      </c>
      <c r="D67" s="2">
        <v>46199</v>
      </c>
      <c r="E67" s="6" t="s">
        <v>263</v>
      </c>
      <c r="F67" s="6" t="s">
        <v>43</v>
      </c>
      <c r="G67" s="6" t="s">
        <v>293</v>
      </c>
      <c r="H67" s="5" t="s">
        <v>104</v>
      </c>
      <c r="I67" s="9">
        <v>52497</v>
      </c>
      <c r="J67" s="6" t="s">
        <v>205</v>
      </c>
      <c r="K67" s="6" t="s">
        <v>233</v>
      </c>
      <c r="L67" s="6" t="s">
        <v>177</v>
      </c>
      <c r="M67" s="10"/>
      <c r="N67">
        <f t="shared" ref="N67:N105" si="3">VALUE(TRIM(RIGHT(LEFT(SUBSTITUTE(G67,_xlfn.UNICHAR(8211),"-"),FIND("-",SUBSTITUTE(G67,_xlfn.UNICHAR(8211),"-"))-1),2)))</f>
        <v>1</v>
      </c>
      <c r="O67">
        <f t="shared" ref="O67:O76" si="4">VALUE(TRIM(LEFT(MID(SUBSTITUTE(G67,_xlfn.UNICHAR(8211),"-"),FIND("-",SUBSTITUTE(G67,_xlfn.UNICHAR(8211),"-"))+1,100),2)))</f>
        <v>5</v>
      </c>
      <c r="P67" t="str">
        <f t="shared" ref="P67:P101" si="5">IF(LEFT(TRIM(G67),1)="(",MID(TRIM(G67),2,FIND(")",TRIM(G67))-2)&amp;"-"&amp;MID(TRIM(G67),FIND("(",TRIM(G67),2)+1,LEN(TRIM(G67))-FIND("(",TRIM(G67),2)-1),"")</f>
        <v/>
      </c>
    </row>
    <row r="68" spans="1:16">
      <c r="A68" s="7" t="s">
        <v>108</v>
      </c>
      <c r="B68" s="6">
        <v>3</v>
      </c>
      <c r="C68" s="6" t="s">
        <v>197</v>
      </c>
      <c r="D68" s="2">
        <v>46200</v>
      </c>
      <c r="E68" s="6" t="s">
        <v>280</v>
      </c>
      <c r="F68" s="5" t="s">
        <v>57</v>
      </c>
      <c r="G68" s="6" t="s">
        <v>185</v>
      </c>
      <c r="H68" s="6" t="s">
        <v>95</v>
      </c>
      <c r="I68" s="9">
        <v>68324</v>
      </c>
      <c r="J68" s="6" t="s">
        <v>222</v>
      </c>
      <c r="K68" s="6" t="s">
        <v>281</v>
      </c>
      <c r="L68" s="6" t="s">
        <v>177</v>
      </c>
      <c r="M68" s="10"/>
      <c r="N68">
        <f t="shared" si="3"/>
        <v>2</v>
      </c>
      <c r="O68">
        <f t="shared" si="4"/>
        <v>1</v>
      </c>
      <c r="P68" t="str">
        <f t="shared" si="5"/>
        <v/>
      </c>
    </row>
    <row r="69" spans="1:16">
      <c r="A69" s="7" t="s">
        <v>108</v>
      </c>
      <c r="B69" s="6">
        <v>3</v>
      </c>
      <c r="C69" s="6" t="s">
        <v>197</v>
      </c>
      <c r="D69" s="2">
        <v>46200</v>
      </c>
      <c r="E69" s="6" t="s">
        <v>280</v>
      </c>
      <c r="F69" s="6" t="s">
        <v>46</v>
      </c>
      <c r="G69" s="6" t="s">
        <v>288</v>
      </c>
      <c r="H69" s="5" t="s">
        <v>105</v>
      </c>
      <c r="I69" s="9">
        <v>80663</v>
      </c>
      <c r="J69" s="6" t="s">
        <v>202</v>
      </c>
      <c r="K69" s="6" t="s">
        <v>248</v>
      </c>
      <c r="L69" s="6" t="s">
        <v>177</v>
      </c>
      <c r="M69" s="10"/>
      <c r="N69">
        <f t="shared" si="3"/>
        <v>0</v>
      </c>
      <c r="O69">
        <f t="shared" si="4"/>
        <v>2</v>
      </c>
      <c r="P69" t="str">
        <f t="shared" si="5"/>
        <v/>
      </c>
    </row>
    <row r="70" spans="1:16">
      <c r="A70" s="7" t="s">
        <v>108</v>
      </c>
      <c r="B70" s="6">
        <v>3</v>
      </c>
      <c r="C70" s="6" t="s">
        <v>197</v>
      </c>
      <c r="D70" s="2">
        <v>46200</v>
      </c>
      <c r="E70" s="6" t="s">
        <v>294</v>
      </c>
      <c r="F70" s="5" t="s">
        <v>58</v>
      </c>
      <c r="G70" s="6" t="s">
        <v>238</v>
      </c>
      <c r="H70" s="6" t="s">
        <v>94</v>
      </c>
      <c r="I70" s="9">
        <v>68239</v>
      </c>
      <c r="J70" s="6" t="s">
        <v>232</v>
      </c>
      <c r="K70" s="6" t="s">
        <v>261</v>
      </c>
      <c r="L70" s="6" t="s">
        <v>177</v>
      </c>
      <c r="M70" s="10"/>
      <c r="N70">
        <f t="shared" si="3"/>
        <v>3</v>
      </c>
      <c r="O70">
        <f t="shared" si="4"/>
        <v>1</v>
      </c>
      <c r="P70" t="str">
        <f t="shared" si="5"/>
        <v/>
      </c>
    </row>
    <row r="71" spans="1:16">
      <c r="A71" s="7" t="s">
        <v>108</v>
      </c>
      <c r="B71" s="6">
        <v>3</v>
      </c>
      <c r="C71" s="6" t="s">
        <v>197</v>
      </c>
      <c r="D71" s="2">
        <v>46200</v>
      </c>
      <c r="E71" s="6" t="s">
        <v>294</v>
      </c>
      <c r="F71" s="6" t="s">
        <v>47</v>
      </c>
      <c r="G71" s="6" t="s">
        <v>231</v>
      </c>
      <c r="H71" s="6" t="s">
        <v>106</v>
      </c>
      <c r="I71" s="9">
        <v>64478</v>
      </c>
      <c r="J71" s="6" t="s">
        <v>234</v>
      </c>
      <c r="K71" s="6" t="s">
        <v>239</v>
      </c>
      <c r="L71" s="6" t="s">
        <v>177</v>
      </c>
      <c r="M71" s="10"/>
      <c r="N71">
        <f t="shared" si="3"/>
        <v>0</v>
      </c>
      <c r="O71">
        <f t="shared" si="4"/>
        <v>0</v>
      </c>
      <c r="P71" t="str">
        <f t="shared" si="5"/>
        <v/>
      </c>
    </row>
    <row r="72" spans="1:16">
      <c r="A72" s="7" t="s">
        <v>108</v>
      </c>
      <c r="B72" s="6">
        <v>3</v>
      </c>
      <c r="C72" s="6" t="s">
        <v>197</v>
      </c>
      <c r="D72" s="2">
        <v>46200</v>
      </c>
      <c r="E72" s="6" t="s">
        <v>295</v>
      </c>
      <c r="F72" s="6" t="s">
        <v>45</v>
      </c>
      <c r="G72" s="6" t="s">
        <v>252</v>
      </c>
      <c r="H72" s="5" t="s">
        <v>107</v>
      </c>
      <c r="I72" s="9">
        <v>70649</v>
      </c>
      <c r="J72" s="6" t="s">
        <v>218</v>
      </c>
      <c r="K72" s="6" t="s">
        <v>274</v>
      </c>
      <c r="L72" s="6" t="s">
        <v>177</v>
      </c>
      <c r="M72" s="10"/>
      <c r="N72">
        <f t="shared" si="3"/>
        <v>1</v>
      </c>
      <c r="O72">
        <f t="shared" si="4"/>
        <v>3</v>
      </c>
      <c r="P72" t="str">
        <f t="shared" si="5"/>
        <v/>
      </c>
    </row>
    <row r="73" spans="1:16">
      <c r="A73" s="7" t="s">
        <v>108</v>
      </c>
      <c r="B73" s="6">
        <v>3</v>
      </c>
      <c r="C73" s="6" t="s">
        <v>197</v>
      </c>
      <c r="D73" s="2">
        <v>46200</v>
      </c>
      <c r="E73" s="6" t="s">
        <v>295</v>
      </c>
      <c r="F73" s="6" t="s">
        <v>59</v>
      </c>
      <c r="G73" s="6" t="s">
        <v>296</v>
      </c>
      <c r="H73" s="6" t="s">
        <v>92</v>
      </c>
      <c r="I73" s="9">
        <v>69045</v>
      </c>
      <c r="J73" s="6" t="s">
        <v>244</v>
      </c>
      <c r="K73" s="6" t="s">
        <v>262</v>
      </c>
      <c r="L73" s="6" t="s">
        <v>177</v>
      </c>
      <c r="M73" s="10"/>
      <c r="N73">
        <f t="shared" si="3"/>
        <v>3</v>
      </c>
      <c r="O73">
        <f t="shared" si="4"/>
        <v>3</v>
      </c>
      <c r="P73" t="str">
        <f t="shared" si="5"/>
        <v/>
      </c>
    </row>
    <row r="74" spans="1:16">
      <c r="A74" s="7" t="s">
        <v>109</v>
      </c>
      <c r="B74" s="10"/>
      <c r="C74" s="6" t="s">
        <v>211</v>
      </c>
      <c r="D74" s="2">
        <v>46201</v>
      </c>
      <c r="E74" s="6" t="s">
        <v>198</v>
      </c>
      <c r="F74" s="6" t="s">
        <v>50</v>
      </c>
      <c r="G74" s="6" t="s">
        <v>208</v>
      </c>
      <c r="H74" s="5" t="s">
        <v>96</v>
      </c>
      <c r="I74" s="9">
        <v>69237</v>
      </c>
      <c r="J74" s="6" t="s">
        <v>195</v>
      </c>
      <c r="K74" s="6" t="s">
        <v>255</v>
      </c>
      <c r="L74" s="6" t="s">
        <v>177</v>
      </c>
      <c r="M74" s="10"/>
      <c r="N74">
        <f t="shared" si="3"/>
        <v>0</v>
      </c>
      <c r="O74">
        <f t="shared" si="4"/>
        <v>1</v>
      </c>
      <c r="P74" t="str">
        <f t="shared" si="5"/>
        <v/>
      </c>
    </row>
    <row r="75" spans="1:16">
      <c r="A75" s="7" t="s">
        <v>109</v>
      </c>
      <c r="B75" s="10"/>
      <c r="C75" s="6" t="s">
        <v>227</v>
      </c>
      <c r="D75" s="2">
        <v>46202</v>
      </c>
      <c r="E75" s="6" t="s">
        <v>212</v>
      </c>
      <c r="F75" s="5" t="s">
        <v>17</v>
      </c>
      <c r="G75" s="6" t="s">
        <v>185</v>
      </c>
      <c r="H75" s="6" t="s">
        <v>69</v>
      </c>
      <c r="I75" s="9">
        <v>68777</v>
      </c>
      <c r="J75" s="6" t="s">
        <v>214</v>
      </c>
      <c r="K75" s="6" t="s">
        <v>235</v>
      </c>
      <c r="L75" s="6" t="s">
        <v>177</v>
      </c>
      <c r="M75" s="10"/>
      <c r="N75">
        <f t="shared" si="3"/>
        <v>2</v>
      </c>
      <c r="O75">
        <f t="shared" si="4"/>
        <v>1</v>
      </c>
      <c r="P75" t="str">
        <f t="shared" si="5"/>
        <v/>
      </c>
    </row>
    <row r="76" spans="1:16" ht="30">
      <c r="A76" s="7" t="s">
        <v>109</v>
      </c>
      <c r="B76" s="10"/>
      <c r="C76" s="6" t="s">
        <v>227</v>
      </c>
      <c r="D76" s="2">
        <v>46202</v>
      </c>
      <c r="E76" s="6" t="s">
        <v>297</v>
      </c>
      <c r="F76" s="6" t="s">
        <v>20</v>
      </c>
      <c r="G76" s="6" t="s">
        <v>298</v>
      </c>
      <c r="H76" s="6" t="s">
        <v>63</v>
      </c>
      <c r="I76" s="9">
        <v>63945</v>
      </c>
      <c r="J76" s="6" t="s">
        <v>209</v>
      </c>
      <c r="K76" s="6" t="s">
        <v>286</v>
      </c>
      <c r="L76" s="6" t="s">
        <v>177</v>
      </c>
      <c r="M76" s="6" t="s">
        <v>299</v>
      </c>
      <c r="N76">
        <f t="shared" si="3"/>
        <v>1</v>
      </c>
      <c r="O76">
        <f t="shared" si="4"/>
        <v>1</v>
      </c>
      <c r="P76" t="str">
        <f t="shared" si="5"/>
        <v>3-4</v>
      </c>
    </row>
    <row r="77" spans="1:16" ht="30">
      <c r="A77" s="7" t="s">
        <v>109</v>
      </c>
      <c r="B77" s="10"/>
      <c r="C77" s="6" t="s">
        <v>227</v>
      </c>
      <c r="D77" s="2">
        <v>46202</v>
      </c>
      <c r="E77" s="6" t="s">
        <v>259</v>
      </c>
      <c r="F77" s="6" t="s">
        <v>21</v>
      </c>
      <c r="G77" s="6" t="s">
        <v>300</v>
      </c>
      <c r="H77" s="6" t="s">
        <v>65</v>
      </c>
      <c r="I77" s="9">
        <v>51243</v>
      </c>
      <c r="J77" s="6" t="s">
        <v>225</v>
      </c>
      <c r="K77" s="6" t="s">
        <v>183</v>
      </c>
      <c r="L77" s="6" t="s">
        <v>177</v>
      </c>
      <c r="M77" s="6" t="s">
        <v>301</v>
      </c>
      <c r="N77">
        <f t="shared" si="3"/>
        <v>1</v>
      </c>
      <c r="O77">
        <f>VALUE(TRIM(LEFT(MID(SUBSTITUTE(G77,_xlfn.UNICHAR(8211),"-"),FIND("-",SUBSTITUTE(G77,_xlfn.UNICHAR(8211),"-"))+1,100),2)))</f>
        <v>1</v>
      </c>
      <c r="P77" t="str">
        <f t="shared" si="5"/>
        <v>2-3</v>
      </c>
    </row>
    <row r="78" spans="1:16">
      <c r="A78" s="7" t="s">
        <v>109</v>
      </c>
      <c r="B78" s="10"/>
      <c r="C78" s="6" t="s">
        <v>237</v>
      </c>
      <c r="D78" s="2">
        <v>46203</v>
      </c>
      <c r="E78" s="6" t="s">
        <v>212</v>
      </c>
      <c r="F78" s="6" t="s">
        <v>22</v>
      </c>
      <c r="G78" s="6" t="s">
        <v>284</v>
      </c>
      <c r="H78" s="5" t="s">
        <v>77</v>
      </c>
      <c r="I78" s="9">
        <v>69665</v>
      </c>
      <c r="J78" s="6" t="s">
        <v>218</v>
      </c>
      <c r="K78" s="6" t="s">
        <v>206</v>
      </c>
      <c r="L78" s="6" t="s">
        <v>177</v>
      </c>
      <c r="M78" s="10"/>
      <c r="N78">
        <f t="shared" si="3"/>
        <v>1</v>
      </c>
      <c r="O78">
        <f t="shared" ref="O78:O105" si="6">VALUE(TRIM(LEFT(MID(SUBSTITUTE(G78,_xlfn.UNICHAR(8211),"-"),FIND("-",SUBSTITUTE(G78,_xlfn.UNICHAR(8211),"-"))+1,100),2)))</f>
        <v>2</v>
      </c>
      <c r="P78" t="str">
        <f t="shared" si="5"/>
        <v/>
      </c>
    </row>
    <row r="79" spans="1:16">
      <c r="A79" s="7" t="s">
        <v>109</v>
      </c>
      <c r="B79" s="10"/>
      <c r="C79" s="6" t="s">
        <v>237</v>
      </c>
      <c r="D79" s="2">
        <v>46203</v>
      </c>
      <c r="E79" s="6" t="s">
        <v>280</v>
      </c>
      <c r="F79" s="5" t="s">
        <v>28</v>
      </c>
      <c r="G79" s="6" t="s">
        <v>243</v>
      </c>
      <c r="H79" s="6" t="s">
        <v>88</v>
      </c>
      <c r="I79" s="9">
        <v>80663</v>
      </c>
      <c r="J79" s="6" t="s">
        <v>202</v>
      </c>
      <c r="K79" s="6" t="s">
        <v>196</v>
      </c>
      <c r="L79" s="6" t="s">
        <v>177</v>
      </c>
      <c r="M79" s="10"/>
      <c r="N79">
        <f t="shared" si="3"/>
        <v>3</v>
      </c>
      <c r="O79">
        <f t="shared" si="6"/>
        <v>0</v>
      </c>
      <c r="P79" t="str">
        <f t="shared" si="5"/>
        <v/>
      </c>
    </row>
    <row r="80" spans="1:16">
      <c r="A80" s="7" t="s">
        <v>109</v>
      </c>
      <c r="B80" s="10"/>
      <c r="C80" s="6" t="s">
        <v>237</v>
      </c>
      <c r="D80" s="2">
        <v>46203</v>
      </c>
      <c r="E80" s="6" t="s">
        <v>184</v>
      </c>
      <c r="F80" s="5" t="s">
        <v>12</v>
      </c>
      <c r="G80" s="6" t="s">
        <v>181</v>
      </c>
      <c r="H80" s="6" t="s">
        <v>70</v>
      </c>
      <c r="I80" s="9">
        <v>80824</v>
      </c>
      <c r="J80" s="6" t="s">
        <v>182</v>
      </c>
      <c r="K80" s="6" t="s">
        <v>203</v>
      </c>
      <c r="L80" s="6" t="s">
        <v>177</v>
      </c>
      <c r="M80" s="10"/>
      <c r="N80">
        <f t="shared" si="3"/>
        <v>2</v>
      </c>
      <c r="O80">
        <f t="shared" si="6"/>
        <v>0</v>
      </c>
      <c r="P80" t="str">
        <f t="shared" si="5"/>
        <v/>
      </c>
    </row>
    <row r="81" spans="1:16">
      <c r="A81" s="7" t="s">
        <v>109</v>
      </c>
      <c r="B81" s="10"/>
      <c r="C81" s="6" t="s">
        <v>247</v>
      </c>
      <c r="D81" s="2">
        <v>46204</v>
      </c>
      <c r="E81" s="6" t="s">
        <v>230</v>
      </c>
      <c r="F81" s="5" t="s">
        <v>33</v>
      </c>
      <c r="G81" s="6" t="s">
        <v>185</v>
      </c>
      <c r="H81" s="6" t="s">
        <v>80</v>
      </c>
      <c r="I81" s="9">
        <v>68239</v>
      </c>
      <c r="J81" s="6" t="s">
        <v>232</v>
      </c>
      <c r="K81" s="6" t="s">
        <v>233</v>
      </c>
      <c r="L81" s="6" t="s">
        <v>177</v>
      </c>
      <c r="M81" s="10"/>
      <c r="N81">
        <f t="shared" si="3"/>
        <v>2</v>
      </c>
      <c r="O81">
        <f t="shared" si="6"/>
        <v>1</v>
      </c>
      <c r="P81" t="str">
        <f t="shared" si="5"/>
        <v/>
      </c>
    </row>
    <row r="82" spans="1:16">
      <c r="A82" s="7" t="s">
        <v>109</v>
      </c>
      <c r="B82" s="10"/>
      <c r="C82" s="6" t="s">
        <v>247</v>
      </c>
      <c r="D82" s="2">
        <v>46204</v>
      </c>
      <c r="E82" s="6" t="s">
        <v>302</v>
      </c>
      <c r="F82" s="5" t="s">
        <v>24</v>
      </c>
      <c r="G82" s="6" t="s">
        <v>283</v>
      </c>
      <c r="H82" s="6" t="s">
        <v>76</v>
      </c>
      <c r="I82" s="9">
        <v>66925</v>
      </c>
      <c r="J82" s="6" t="s">
        <v>228</v>
      </c>
      <c r="K82" s="6" t="s">
        <v>200</v>
      </c>
      <c r="L82" s="6" t="s">
        <v>177</v>
      </c>
      <c r="M82" s="6" t="s">
        <v>303</v>
      </c>
      <c r="N82">
        <f t="shared" si="3"/>
        <v>3</v>
      </c>
      <c r="O82">
        <f t="shared" si="6"/>
        <v>2</v>
      </c>
      <c r="P82" t="str">
        <f t="shared" si="5"/>
        <v/>
      </c>
    </row>
    <row r="83" spans="1:16">
      <c r="A83" s="7" t="s">
        <v>109</v>
      </c>
      <c r="B83" s="10"/>
      <c r="C83" s="6" t="s">
        <v>247</v>
      </c>
      <c r="D83" s="2">
        <v>46204</v>
      </c>
      <c r="E83" s="6" t="s">
        <v>304</v>
      </c>
      <c r="F83" s="5" t="s">
        <v>15</v>
      </c>
      <c r="G83" s="6" t="s">
        <v>181</v>
      </c>
      <c r="H83" s="6" t="s">
        <v>62</v>
      </c>
      <c r="I83" s="9">
        <v>68827</v>
      </c>
      <c r="J83" s="6" t="s">
        <v>199</v>
      </c>
      <c r="K83" s="6" t="s">
        <v>276</v>
      </c>
      <c r="L83" s="6" t="s">
        <v>177</v>
      </c>
      <c r="M83" s="10"/>
      <c r="N83">
        <f t="shared" si="3"/>
        <v>2</v>
      </c>
      <c r="O83">
        <f t="shared" si="6"/>
        <v>0</v>
      </c>
      <c r="P83" t="str">
        <f>IF(LEFT(TRIM(G83),1)="(",MID(TRIM(G83),2,FIND(")",TRIM(G83))-2)&amp;"-"&amp;MID(TRIM(G83),FIND("(",TRIM(G83),2)+1,LEN(TRIM(G83))-FIND("(",TRIM(G83),2)-1),"")</f>
        <v/>
      </c>
    </row>
    <row r="84" spans="1:16">
      <c r="A84" s="7" t="s">
        <v>109</v>
      </c>
      <c r="B84" s="10"/>
      <c r="C84" s="6" t="s">
        <v>179</v>
      </c>
      <c r="D84" s="2">
        <v>46205</v>
      </c>
      <c r="E84" s="6" t="s">
        <v>198</v>
      </c>
      <c r="F84" s="5" t="s">
        <v>25</v>
      </c>
      <c r="G84" s="6" t="s">
        <v>243</v>
      </c>
      <c r="H84" s="6" t="s">
        <v>92</v>
      </c>
      <c r="I84" s="9">
        <v>70492</v>
      </c>
      <c r="J84" s="6" t="s">
        <v>195</v>
      </c>
      <c r="K84" s="6" t="s">
        <v>251</v>
      </c>
      <c r="L84" s="6" t="s">
        <v>177</v>
      </c>
      <c r="M84" s="10"/>
      <c r="N84">
        <f t="shared" si="3"/>
        <v>3</v>
      </c>
      <c r="O84">
        <f t="shared" si="6"/>
        <v>0</v>
      </c>
      <c r="P84" t="str">
        <f t="shared" si="5"/>
        <v/>
      </c>
    </row>
    <row r="85" spans="1:16">
      <c r="A85" s="7" t="s">
        <v>109</v>
      </c>
      <c r="B85" s="10"/>
      <c r="C85" s="6" t="s">
        <v>179</v>
      </c>
      <c r="D85" s="2">
        <v>46205</v>
      </c>
      <c r="E85" s="6" t="s">
        <v>220</v>
      </c>
      <c r="F85" s="5" t="s">
        <v>32</v>
      </c>
      <c r="G85" s="6" t="s">
        <v>185</v>
      </c>
      <c r="H85" s="6" t="s">
        <v>81</v>
      </c>
      <c r="I85" s="9">
        <v>43036</v>
      </c>
      <c r="J85" s="6" t="s">
        <v>191</v>
      </c>
      <c r="K85" s="6" t="s">
        <v>278</v>
      </c>
      <c r="L85" s="6" t="s">
        <v>177</v>
      </c>
      <c r="M85" s="10"/>
      <c r="N85">
        <f t="shared" si="3"/>
        <v>2</v>
      </c>
      <c r="O85">
        <f t="shared" si="6"/>
        <v>1</v>
      </c>
      <c r="P85" t="str">
        <f t="shared" si="5"/>
        <v/>
      </c>
    </row>
    <row r="86" spans="1:16">
      <c r="A86" s="7" t="s">
        <v>109</v>
      </c>
      <c r="B86" s="10"/>
      <c r="C86" s="6" t="s">
        <v>179</v>
      </c>
      <c r="D86" s="2">
        <v>46205</v>
      </c>
      <c r="E86" s="6" t="s">
        <v>263</v>
      </c>
      <c r="F86" s="5" t="s">
        <v>37</v>
      </c>
      <c r="G86" s="6" t="s">
        <v>181</v>
      </c>
      <c r="H86" s="6" t="s">
        <v>78</v>
      </c>
      <c r="I86" s="9">
        <v>52497</v>
      </c>
      <c r="J86" s="6" t="s">
        <v>205</v>
      </c>
      <c r="K86" s="6" t="s">
        <v>226</v>
      </c>
      <c r="L86" s="6" t="s">
        <v>177</v>
      </c>
      <c r="M86" s="10"/>
      <c r="N86">
        <f t="shared" si="3"/>
        <v>2</v>
      </c>
      <c r="O86">
        <f t="shared" si="6"/>
        <v>0</v>
      </c>
      <c r="P86" t="str">
        <f t="shared" si="5"/>
        <v/>
      </c>
    </row>
    <row r="87" spans="1:16">
      <c r="A87" s="7" t="s">
        <v>109</v>
      </c>
      <c r="B87" s="10"/>
      <c r="C87" s="6" t="s">
        <v>188</v>
      </c>
      <c r="D87" s="2">
        <v>46206</v>
      </c>
      <c r="E87" s="6" t="s">
        <v>305</v>
      </c>
      <c r="F87" s="6" t="s">
        <v>18</v>
      </c>
      <c r="G87" s="6" t="s">
        <v>306</v>
      </c>
      <c r="H87" s="6" t="s">
        <v>72</v>
      </c>
      <c r="I87" s="9">
        <v>70244</v>
      </c>
      <c r="J87" s="6" t="s">
        <v>218</v>
      </c>
      <c r="K87" s="6" t="s">
        <v>260</v>
      </c>
      <c r="L87" s="6" t="s">
        <v>177</v>
      </c>
      <c r="M87" s="6" t="s">
        <v>307</v>
      </c>
      <c r="N87">
        <f t="shared" si="3"/>
        <v>1</v>
      </c>
      <c r="O87">
        <f t="shared" si="6"/>
        <v>1</v>
      </c>
      <c r="P87" t="str">
        <f t="shared" si="5"/>
        <v>2-4</v>
      </c>
    </row>
    <row r="88" spans="1:16">
      <c r="A88" s="7" t="s">
        <v>109</v>
      </c>
      <c r="B88" s="10"/>
      <c r="C88" s="6" t="s">
        <v>188</v>
      </c>
      <c r="D88" s="2">
        <v>46206</v>
      </c>
      <c r="E88" s="6" t="s">
        <v>201</v>
      </c>
      <c r="F88" s="5" t="s">
        <v>30</v>
      </c>
      <c r="G88" s="6" t="s">
        <v>283</v>
      </c>
      <c r="H88" s="6" t="s">
        <v>73</v>
      </c>
      <c r="I88" s="9">
        <v>64478</v>
      </c>
      <c r="J88" s="6" t="s">
        <v>234</v>
      </c>
      <c r="K88" s="6" t="s">
        <v>281</v>
      </c>
      <c r="L88" s="6" t="s">
        <v>177</v>
      </c>
      <c r="M88" s="6" t="s">
        <v>303</v>
      </c>
      <c r="N88">
        <f t="shared" si="3"/>
        <v>3</v>
      </c>
      <c r="O88">
        <f t="shared" si="6"/>
        <v>2</v>
      </c>
      <c r="P88" t="str">
        <f t="shared" si="5"/>
        <v/>
      </c>
    </row>
    <row r="89" spans="1:16">
      <c r="A89" s="7" t="s">
        <v>109</v>
      </c>
      <c r="B89" s="10"/>
      <c r="C89" s="6" t="s">
        <v>188</v>
      </c>
      <c r="D89" s="2">
        <v>46206</v>
      </c>
      <c r="E89" s="6" t="s">
        <v>308</v>
      </c>
      <c r="F89" s="5" t="s">
        <v>47</v>
      </c>
      <c r="G89" s="6" t="s">
        <v>221</v>
      </c>
      <c r="H89" s="6" t="s">
        <v>95</v>
      </c>
      <c r="I89" s="9">
        <v>69045</v>
      </c>
      <c r="J89" s="6" t="s">
        <v>244</v>
      </c>
      <c r="K89" s="6" t="s">
        <v>250</v>
      </c>
      <c r="L89" s="6" t="s">
        <v>177</v>
      </c>
      <c r="M89" s="10"/>
      <c r="N89">
        <f t="shared" si="3"/>
        <v>1</v>
      </c>
      <c r="O89">
        <f t="shared" si="6"/>
        <v>0</v>
      </c>
      <c r="P89" t="str">
        <f t="shared" si="5"/>
        <v/>
      </c>
    </row>
    <row r="90" spans="1:16">
      <c r="A90" s="7" t="s">
        <v>110</v>
      </c>
      <c r="B90" s="10"/>
      <c r="C90" s="6" t="s">
        <v>197</v>
      </c>
      <c r="D90" s="2">
        <v>46207</v>
      </c>
      <c r="E90" s="6" t="s">
        <v>212</v>
      </c>
      <c r="F90" s="6" t="s">
        <v>14</v>
      </c>
      <c r="G90" s="6" t="s">
        <v>287</v>
      </c>
      <c r="H90" s="5" t="s">
        <v>65</v>
      </c>
      <c r="I90" s="9">
        <v>68777</v>
      </c>
      <c r="J90" s="6" t="s">
        <v>214</v>
      </c>
      <c r="K90" s="6" t="s">
        <v>267</v>
      </c>
      <c r="L90" s="6" t="s">
        <v>177</v>
      </c>
      <c r="M90" s="10"/>
      <c r="N90">
        <f t="shared" si="3"/>
        <v>0</v>
      </c>
      <c r="O90">
        <f t="shared" si="6"/>
        <v>3</v>
      </c>
      <c r="P90" t="str">
        <f t="shared" si="5"/>
        <v/>
      </c>
    </row>
    <row r="91" spans="1:16">
      <c r="A91" s="7" t="s">
        <v>110</v>
      </c>
      <c r="B91" s="10"/>
      <c r="C91" s="6" t="s">
        <v>197</v>
      </c>
      <c r="D91" s="2">
        <v>46207</v>
      </c>
      <c r="E91" s="6" t="s">
        <v>280</v>
      </c>
      <c r="F91" s="6" t="s">
        <v>53</v>
      </c>
      <c r="G91" s="6" t="s">
        <v>208</v>
      </c>
      <c r="H91" s="5" t="s">
        <v>102</v>
      </c>
      <c r="I91" s="9">
        <v>68324</v>
      </c>
      <c r="J91" s="6" t="s">
        <v>222</v>
      </c>
      <c r="K91" s="6" t="s">
        <v>262</v>
      </c>
      <c r="L91" s="6" t="s">
        <v>177</v>
      </c>
      <c r="M91" s="10"/>
      <c r="N91">
        <f t="shared" si="3"/>
        <v>0</v>
      </c>
      <c r="O91">
        <f t="shared" si="6"/>
        <v>1</v>
      </c>
      <c r="P91" t="str">
        <f t="shared" si="5"/>
        <v/>
      </c>
    </row>
    <row r="92" spans="1:16">
      <c r="A92" s="7" t="s">
        <v>110</v>
      </c>
      <c r="B92" s="10"/>
      <c r="C92" s="6" t="s">
        <v>211</v>
      </c>
      <c r="D92" s="2">
        <v>46208</v>
      </c>
      <c r="E92" s="6" t="s">
        <v>268</v>
      </c>
      <c r="F92" s="6" t="s">
        <v>17</v>
      </c>
      <c r="G92" s="6" t="s">
        <v>284</v>
      </c>
      <c r="H92" s="5" t="s">
        <v>77</v>
      </c>
      <c r="I92" s="9">
        <v>80663</v>
      </c>
      <c r="J92" s="6" t="s">
        <v>202</v>
      </c>
      <c r="K92" s="6" t="s">
        <v>219</v>
      </c>
      <c r="L92" s="6" t="s">
        <v>177</v>
      </c>
      <c r="M92" s="10"/>
      <c r="N92">
        <f t="shared" si="3"/>
        <v>1</v>
      </c>
      <c r="O92">
        <f t="shared" si="6"/>
        <v>2</v>
      </c>
      <c r="P92" t="str">
        <f t="shared" si="5"/>
        <v/>
      </c>
    </row>
    <row r="93" spans="1:16">
      <c r="A93" s="7" t="s">
        <v>110</v>
      </c>
      <c r="B93" s="10"/>
      <c r="C93" s="6" t="s">
        <v>211</v>
      </c>
      <c r="D93" s="2">
        <v>46208</v>
      </c>
      <c r="E93" s="6" t="s">
        <v>259</v>
      </c>
      <c r="F93" s="6" t="s">
        <v>12</v>
      </c>
      <c r="G93" s="6" t="s">
        <v>309</v>
      </c>
      <c r="H93" s="5" t="s">
        <v>105</v>
      </c>
      <c r="I93" s="9">
        <v>80824</v>
      </c>
      <c r="J93" s="6" t="s">
        <v>182</v>
      </c>
      <c r="K93" s="6" t="s">
        <v>239</v>
      </c>
      <c r="L93" s="6" t="s">
        <v>177</v>
      </c>
      <c r="M93" s="10"/>
      <c r="N93">
        <f t="shared" si="3"/>
        <v>2</v>
      </c>
      <c r="O93">
        <f t="shared" si="6"/>
        <v>3</v>
      </c>
      <c r="P93" t="str">
        <f t="shared" si="5"/>
        <v/>
      </c>
    </row>
    <row r="94" spans="1:16">
      <c r="A94" s="7" t="s">
        <v>110</v>
      </c>
      <c r="B94" s="10"/>
      <c r="C94" s="6" t="s">
        <v>227</v>
      </c>
      <c r="D94" s="2">
        <v>46209</v>
      </c>
      <c r="E94" s="6" t="s">
        <v>310</v>
      </c>
      <c r="F94" s="6" t="s">
        <v>32</v>
      </c>
      <c r="G94" s="6" t="s">
        <v>208</v>
      </c>
      <c r="H94" s="5" t="s">
        <v>103</v>
      </c>
      <c r="I94" s="9">
        <v>70649</v>
      </c>
      <c r="J94" s="6" t="s">
        <v>218</v>
      </c>
      <c r="K94" s="6" t="s">
        <v>253</v>
      </c>
      <c r="L94" s="6" t="s">
        <v>177</v>
      </c>
      <c r="M94" s="10"/>
      <c r="N94">
        <f t="shared" si="3"/>
        <v>0</v>
      </c>
      <c r="O94">
        <f t="shared" si="6"/>
        <v>1</v>
      </c>
      <c r="P94" t="str">
        <f t="shared" si="5"/>
        <v/>
      </c>
    </row>
    <row r="95" spans="1:16">
      <c r="A95" s="7" t="s">
        <v>110</v>
      </c>
      <c r="B95" s="10"/>
      <c r="C95" s="6" t="s">
        <v>227</v>
      </c>
      <c r="D95" s="2">
        <v>46209</v>
      </c>
      <c r="E95" s="6" t="s">
        <v>304</v>
      </c>
      <c r="F95" s="6" t="s">
        <v>15</v>
      </c>
      <c r="G95" s="6" t="s">
        <v>240</v>
      </c>
      <c r="H95" s="5" t="s">
        <v>104</v>
      </c>
      <c r="I95" s="9">
        <v>66925</v>
      </c>
      <c r="J95" s="6" t="s">
        <v>228</v>
      </c>
      <c r="K95" s="6" t="s">
        <v>233</v>
      </c>
      <c r="L95" s="6" t="s">
        <v>177</v>
      </c>
      <c r="M95" s="10"/>
      <c r="N95">
        <f t="shared" si="3"/>
        <v>1</v>
      </c>
      <c r="O95">
        <f t="shared" si="6"/>
        <v>4</v>
      </c>
      <c r="P95" t="str">
        <f t="shared" si="5"/>
        <v/>
      </c>
    </row>
    <row r="96" spans="1:16">
      <c r="A96" s="7" t="s">
        <v>110</v>
      </c>
      <c r="B96" s="10"/>
      <c r="C96" s="6" t="s">
        <v>237</v>
      </c>
      <c r="D96" s="2">
        <v>46210</v>
      </c>
      <c r="E96" s="6" t="s">
        <v>230</v>
      </c>
      <c r="F96" s="5" t="s">
        <v>30</v>
      </c>
      <c r="G96" s="6" t="s">
        <v>283</v>
      </c>
      <c r="H96" s="6" t="s">
        <v>72</v>
      </c>
      <c r="I96" s="9">
        <v>68239</v>
      </c>
      <c r="J96" s="6" t="s">
        <v>232</v>
      </c>
      <c r="K96" s="6" t="s">
        <v>223</v>
      </c>
      <c r="L96" s="6" t="s">
        <v>177</v>
      </c>
      <c r="M96" s="10"/>
      <c r="N96">
        <f t="shared" si="3"/>
        <v>3</v>
      </c>
      <c r="O96">
        <f t="shared" si="6"/>
        <v>2</v>
      </c>
      <c r="P96" t="str">
        <f t="shared" si="5"/>
        <v/>
      </c>
    </row>
    <row r="97" spans="1:16" ht="30">
      <c r="A97" s="7" t="s">
        <v>110</v>
      </c>
      <c r="B97" s="10"/>
      <c r="C97" s="6" t="s">
        <v>237</v>
      </c>
      <c r="D97" s="2">
        <v>46210</v>
      </c>
      <c r="E97" s="6" t="s">
        <v>302</v>
      </c>
      <c r="F97" s="6" t="s">
        <v>37</v>
      </c>
      <c r="G97" s="6" t="s">
        <v>311</v>
      </c>
      <c r="H97" s="6" t="s">
        <v>83</v>
      </c>
      <c r="I97" s="9">
        <v>52497</v>
      </c>
      <c r="J97" s="6" t="s">
        <v>205</v>
      </c>
      <c r="K97" s="6" t="s">
        <v>264</v>
      </c>
      <c r="L97" s="6" t="s">
        <v>177</v>
      </c>
      <c r="M97" s="6" t="s">
        <v>312</v>
      </c>
      <c r="N97">
        <f t="shared" si="3"/>
        <v>0</v>
      </c>
      <c r="O97">
        <f t="shared" si="6"/>
        <v>0</v>
      </c>
      <c r="P97" t="str">
        <f>IF(LEFT(TRIM(G97),1)="(",MID(TRIM(G97),2,FIND(")",TRIM(G97))-2)&amp;"-"&amp;MID(TRIM(G97),FIND("(",TRIM(G97),2)+1,LEN(TRIM(G97))-FIND("(",TRIM(G97),2)-1),"")</f>
        <v>4-3</v>
      </c>
    </row>
    <row r="98" spans="1:16">
      <c r="A98" s="7" t="s">
        <v>111</v>
      </c>
      <c r="B98" s="10"/>
      <c r="C98" s="6" t="s">
        <v>179</v>
      </c>
      <c r="D98" s="2">
        <v>46212</v>
      </c>
      <c r="E98" s="6" t="s">
        <v>268</v>
      </c>
      <c r="F98" s="5" t="s">
        <v>28</v>
      </c>
      <c r="G98" s="6" t="s">
        <v>181</v>
      </c>
      <c r="H98" s="6" t="s">
        <v>65</v>
      </c>
      <c r="I98" s="9">
        <v>63811</v>
      </c>
      <c r="J98" s="6" t="s">
        <v>209</v>
      </c>
      <c r="K98" s="6" t="s">
        <v>192</v>
      </c>
      <c r="L98" s="6" t="s">
        <v>177</v>
      </c>
      <c r="M98" s="10"/>
      <c r="N98">
        <f t="shared" si="3"/>
        <v>2</v>
      </c>
      <c r="O98">
        <f t="shared" si="6"/>
        <v>0</v>
      </c>
      <c r="P98" t="str">
        <f t="shared" si="5"/>
        <v/>
      </c>
    </row>
    <row r="99" spans="1:16">
      <c r="A99" s="7" t="s">
        <v>111</v>
      </c>
      <c r="B99" s="10"/>
      <c r="C99" s="6" t="s">
        <v>188</v>
      </c>
      <c r="D99" s="2">
        <v>46213</v>
      </c>
      <c r="E99" s="6" t="s">
        <v>198</v>
      </c>
      <c r="F99" s="5" t="s">
        <v>25</v>
      </c>
      <c r="G99" s="6" t="s">
        <v>185</v>
      </c>
      <c r="H99" s="6" t="s">
        <v>104</v>
      </c>
      <c r="I99" s="9">
        <v>70492</v>
      </c>
      <c r="J99" s="6" t="s">
        <v>195</v>
      </c>
      <c r="K99" s="6" t="s">
        <v>267</v>
      </c>
      <c r="L99" s="6" t="s">
        <v>177</v>
      </c>
      <c r="M99" s="10"/>
      <c r="N99">
        <f t="shared" si="3"/>
        <v>2</v>
      </c>
      <c r="O99">
        <f t="shared" si="6"/>
        <v>1</v>
      </c>
      <c r="P99" t="str">
        <f t="shared" si="5"/>
        <v/>
      </c>
    </row>
    <row r="100" spans="1:16">
      <c r="A100" s="7" t="s">
        <v>111</v>
      </c>
      <c r="B100" s="10"/>
      <c r="C100" s="6" t="s">
        <v>197</v>
      </c>
      <c r="D100" s="2">
        <v>46214</v>
      </c>
      <c r="E100" s="6" t="s">
        <v>280</v>
      </c>
      <c r="F100" s="6" t="s">
        <v>44</v>
      </c>
      <c r="G100" s="6" t="s">
        <v>284</v>
      </c>
      <c r="H100" s="5" t="s">
        <v>105</v>
      </c>
      <c r="I100" s="9">
        <v>64478</v>
      </c>
      <c r="J100" s="6" t="s">
        <v>234</v>
      </c>
      <c r="K100" s="6" t="s">
        <v>250</v>
      </c>
      <c r="L100" s="6" t="s">
        <v>177</v>
      </c>
      <c r="M100" s="6" t="s">
        <v>303</v>
      </c>
      <c r="N100">
        <f t="shared" si="3"/>
        <v>1</v>
      </c>
      <c r="O100">
        <f t="shared" si="6"/>
        <v>2</v>
      </c>
      <c r="P100" t="str">
        <f t="shared" si="5"/>
        <v/>
      </c>
    </row>
    <row r="101" spans="1:16">
      <c r="A101" s="7" t="s">
        <v>111</v>
      </c>
      <c r="B101" s="10"/>
      <c r="C101" s="6" t="s">
        <v>197</v>
      </c>
      <c r="D101" s="2">
        <v>46214</v>
      </c>
      <c r="E101" s="6" t="s">
        <v>242</v>
      </c>
      <c r="F101" s="5" t="s">
        <v>30</v>
      </c>
      <c r="G101" s="6" t="s">
        <v>238</v>
      </c>
      <c r="H101" s="6" t="s">
        <v>64</v>
      </c>
      <c r="I101" s="9">
        <v>69045</v>
      </c>
      <c r="J101" s="6" t="s">
        <v>244</v>
      </c>
      <c r="K101" s="6" t="s">
        <v>255</v>
      </c>
      <c r="L101" s="6" t="s">
        <v>177</v>
      </c>
      <c r="M101" s="6" t="s">
        <v>303</v>
      </c>
      <c r="N101">
        <f t="shared" si="3"/>
        <v>3</v>
      </c>
      <c r="O101">
        <f t="shared" si="6"/>
        <v>1</v>
      </c>
      <c r="P101" t="str">
        <f t="shared" si="5"/>
        <v/>
      </c>
    </row>
    <row r="102" spans="1:16">
      <c r="A102" s="7" t="s">
        <v>112</v>
      </c>
      <c r="B102" s="10"/>
      <c r="C102" s="6" t="s">
        <v>237</v>
      </c>
      <c r="D102" s="2">
        <v>46217</v>
      </c>
      <c r="E102" s="6" t="s">
        <v>310</v>
      </c>
      <c r="F102" s="6" t="s">
        <v>28</v>
      </c>
      <c r="G102" s="6" t="s">
        <v>288</v>
      </c>
      <c r="H102" s="5" t="s">
        <v>103</v>
      </c>
      <c r="I102" s="9">
        <v>70176</v>
      </c>
      <c r="J102" s="6" t="s">
        <v>218</v>
      </c>
      <c r="K102" s="6" t="s">
        <v>264</v>
      </c>
      <c r="L102" s="6" t="s">
        <v>177</v>
      </c>
      <c r="M102" s="10"/>
      <c r="N102">
        <f t="shared" si="3"/>
        <v>0</v>
      </c>
      <c r="O102">
        <f t="shared" si="6"/>
        <v>2</v>
      </c>
      <c r="P102" t="str">
        <f>IF(LEFT(TRIM(G102),1)="(",MID(TRIM(G102),2,FIND(")",TRIM(G102))-2)&amp;"-"&amp;MID(TRIM(G102),FIND("(",TRIM(G102),2)+1,LEN(TRIM(G102))-FIND("(",TRIM(G102),2)-1),"")</f>
        <v/>
      </c>
    </row>
    <row r="103" spans="1:16">
      <c r="A103" s="7" t="s">
        <v>112</v>
      </c>
      <c r="B103" s="10"/>
      <c r="C103" s="6" t="s">
        <v>247</v>
      </c>
      <c r="D103" s="2">
        <v>46218</v>
      </c>
      <c r="E103" s="6" t="s">
        <v>189</v>
      </c>
      <c r="F103" s="6" t="s">
        <v>33</v>
      </c>
      <c r="G103" s="6" t="s">
        <v>284</v>
      </c>
      <c r="H103" s="5" t="s">
        <v>107</v>
      </c>
      <c r="I103" s="9">
        <v>68239</v>
      </c>
      <c r="J103" s="6" t="s">
        <v>232</v>
      </c>
      <c r="K103" s="6" t="s">
        <v>219</v>
      </c>
      <c r="L103" s="6" t="s">
        <v>177</v>
      </c>
      <c r="M103" s="10"/>
      <c r="N103">
        <f t="shared" si="3"/>
        <v>1</v>
      </c>
      <c r="O103">
        <f t="shared" si="6"/>
        <v>2</v>
      </c>
      <c r="P103" t="str">
        <f t="shared" ref="P103:P105" si="7">IF(LEFT(TRIM(G103),1)="(",MID(TRIM(G103),2,FIND(")",TRIM(G103))-2)&amp;"-"&amp;MID(TRIM(G103),FIND("(",TRIM(G103),2)+1,LEN(TRIM(G103))-FIND("(",TRIM(G103),2)-1),"")</f>
        <v/>
      </c>
    </row>
    <row r="104" spans="1:16">
      <c r="A104" s="7" t="s">
        <v>113</v>
      </c>
      <c r="B104" s="10"/>
      <c r="C104" s="6" t="s">
        <v>197</v>
      </c>
      <c r="D104" s="2">
        <v>46221</v>
      </c>
      <c r="E104" s="6" t="s">
        <v>280</v>
      </c>
      <c r="F104" s="6" t="s">
        <v>28</v>
      </c>
      <c r="G104" s="6" t="s">
        <v>313</v>
      </c>
      <c r="H104" s="5" t="s">
        <v>105</v>
      </c>
      <c r="I104" s="9">
        <v>64478</v>
      </c>
      <c r="J104" s="6" t="s">
        <v>234</v>
      </c>
      <c r="K104" s="6" t="s">
        <v>206</v>
      </c>
      <c r="L104" s="6" t="s">
        <v>177</v>
      </c>
      <c r="M104" s="10"/>
      <c r="N104">
        <f t="shared" si="3"/>
        <v>4</v>
      </c>
      <c r="O104">
        <f t="shared" si="6"/>
        <v>6</v>
      </c>
      <c r="P104" t="str">
        <f t="shared" si="7"/>
        <v/>
      </c>
    </row>
    <row r="105" spans="1:16">
      <c r="A105" s="7" t="s">
        <v>114</v>
      </c>
      <c r="B105" s="10"/>
      <c r="C105" s="6" t="s">
        <v>211</v>
      </c>
      <c r="D105" s="2">
        <v>46222</v>
      </c>
      <c r="E105" s="6" t="s">
        <v>189</v>
      </c>
      <c r="F105" s="5" t="s">
        <v>25</v>
      </c>
      <c r="G105" s="6" t="s">
        <v>221</v>
      </c>
      <c r="H105" s="6" t="s">
        <v>107</v>
      </c>
      <c r="I105" s="9">
        <v>80663</v>
      </c>
      <c r="J105" s="6" t="s">
        <v>202</v>
      </c>
      <c r="K105" s="6" t="s">
        <v>203</v>
      </c>
      <c r="L105" s="6" t="s">
        <v>177</v>
      </c>
      <c r="M105" s="6" t="s">
        <v>303</v>
      </c>
      <c r="N105">
        <f t="shared" si="3"/>
        <v>1</v>
      </c>
      <c r="O105">
        <f t="shared" si="6"/>
        <v>0</v>
      </c>
      <c r="P105" t="str">
        <f t="shared" si="7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Matches</vt:lpstr>
      <vt:lpstr>FIFA_Points</vt:lpstr>
      <vt:lpstr>Recent_Matches</vt:lpstr>
      <vt:lpstr>Player</vt:lpstr>
      <vt:lpstr>Match_Stats</vt:lpstr>
      <vt:lpstr>Constants</vt:lpstr>
      <vt:lpstr>H2H</vt:lpstr>
      <vt:lpstr>Split</vt:lpstr>
      <vt:lpstr>WC2022 Squad_Standard_Stats</vt:lpstr>
      <vt:lpstr>Raw_Matches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Sabina B K</dc:creator>
  <cp:lastModifiedBy>Sabina B K</cp:lastModifiedBy>
  <dcterms:created xsi:type="dcterms:W3CDTF">2026-10-08T02:14:08Z</dcterms:created>
  <dcterms:modified xsi:type="dcterms:W3CDTF">2026-10-09T05:51:01Z</dcterms:modified>
</cp:coreProperties>
</file>