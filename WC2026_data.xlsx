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ee/Desktop/WC2026_Objective 2/"/>
    </mc:Choice>
  </mc:AlternateContent>
  <xr:revisionPtr revIDLastSave="0" documentId="8_{B83E9A20-14EA-6C46-8EDD-FD1691603A59}" xr6:coauthVersionLast="47" xr6:coauthVersionMax="47" xr10:uidLastSave="{00000000-0000-0000-0000-000000000000}"/>
  <bookViews>
    <workbookView xWindow="20200" yWindow="660" windowWidth="10040" windowHeight="18980" activeTab="3" xr2:uid="{6D8C40B8-B365-E74B-851C-CDB1A87B4DC4}"/>
  </bookViews>
  <sheets>
    <sheet name="Matches" sheetId="1" r:id="rId1"/>
    <sheet name="Match_Stats" sheetId="3" r:id="rId2"/>
    <sheet name="Constants" sheetId="4" r:id="rId3"/>
    <sheet name="Split" sheetId="6" r:id="rId4"/>
    <sheet name="WC2022 Squad_Standard_Stats" sheetId="5" r:id="rId5"/>
    <sheet name="Raw_Matches" sheetId="2" r:id="rId6"/>
  </sheets>
  <definedNames>
    <definedName name="_xlnm._FilterDatabase" localSheetId="1" hidden="1">Match_Stats!$A$1:$C$209</definedName>
    <definedName name="_xlnm._FilterDatabase" localSheetId="0" hidden="1">Matches!$A$1:$J$105</definedName>
    <definedName name="_xlnm._FilterDatabase" localSheetId="3" hidden="1">Split!$A$1:$E$1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6" l="1"/>
  <c r="B3" i="4"/>
  <c r="A6" i="3"/>
  <c r="B6" i="3" s="1"/>
  <c r="A7" i="3"/>
  <c r="B7" i="3" s="1"/>
  <c r="A8" i="3"/>
  <c r="B8" i="3" s="1"/>
  <c r="A9" i="3"/>
  <c r="B9" i="3" s="1"/>
  <c r="A10" i="3"/>
  <c r="B10" i="3" s="1"/>
  <c r="A11" i="3"/>
  <c r="B11" i="3" s="1"/>
  <c r="A12" i="3"/>
  <c r="B12" i="3" s="1"/>
  <c r="A13" i="3"/>
  <c r="B13" i="3" s="1"/>
  <c r="A14" i="3"/>
  <c r="B14" i="3" s="1"/>
  <c r="A15" i="3"/>
  <c r="B15" i="3" s="1"/>
  <c r="A16" i="3"/>
  <c r="B16" i="3" s="1"/>
  <c r="A17" i="3"/>
  <c r="B17" i="3" s="1"/>
  <c r="A18" i="3"/>
  <c r="B18" i="3" s="1"/>
  <c r="A19" i="3"/>
  <c r="B19" i="3" s="1"/>
  <c r="A20" i="3"/>
  <c r="B20" i="3" s="1"/>
  <c r="A21" i="3"/>
  <c r="B21" i="3" s="1"/>
  <c r="A22" i="3"/>
  <c r="B22" i="3" s="1"/>
  <c r="A23" i="3"/>
  <c r="B23" i="3" s="1"/>
  <c r="A24" i="3"/>
  <c r="B24" i="3" s="1"/>
  <c r="A25" i="3"/>
  <c r="B25" i="3" s="1"/>
  <c r="A26" i="3"/>
  <c r="B26" i="3" s="1"/>
  <c r="A27" i="3"/>
  <c r="B27" i="3" s="1"/>
  <c r="A28" i="3"/>
  <c r="B28" i="3" s="1"/>
  <c r="A29" i="3"/>
  <c r="B29" i="3" s="1"/>
  <c r="A30" i="3"/>
  <c r="B30" i="3" s="1"/>
  <c r="A31" i="3"/>
  <c r="B31" i="3" s="1"/>
  <c r="A32" i="3"/>
  <c r="B32" i="3" s="1"/>
  <c r="A33" i="3"/>
  <c r="B33" i="3" s="1"/>
  <c r="A34" i="3"/>
  <c r="B34" i="3" s="1"/>
  <c r="A35" i="3"/>
  <c r="B35" i="3" s="1"/>
  <c r="A36" i="3"/>
  <c r="B36" i="3" s="1"/>
  <c r="A37" i="3"/>
  <c r="B37" i="3" s="1"/>
  <c r="A38" i="3"/>
  <c r="B38" i="3" s="1"/>
  <c r="A39" i="3"/>
  <c r="B39" i="3" s="1"/>
  <c r="A40" i="3"/>
  <c r="B40" i="3" s="1"/>
  <c r="A41" i="3"/>
  <c r="B41" i="3" s="1"/>
  <c r="A42" i="3"/>
  <c r="B42" i="3" s="1"/>
  <c r="A43" i="3"/>
  <c r="B43" i="3" s="1"/>
  <c r="A44" i="3"/>
  <c r="B44" i="3" s="1"/>
  <c r="A45" i="3"/>
  <c r="B45" i="3" s="1"/>
  <c r="A46" i="3"/>
  <c r="B46" i="3" s="1"/>
  <c r="A47" i="3"/>
  <c r="B47" i="3" s="1"/>
  <c r="A48" i="3"/>
  <c r="B48" i="3" s="1"/>
  <c r="A49" i="3"/>
  <c r="B49" i="3" s="1"/>
  <c r="A50" i="3"/>
  <c r="B50" i="3" s="1"/>
  <c r="A51" i="3"/>
  <c r="B51" i="3" s="1"/>
  <c r="A52" i="3"/>
  <c r="B52" i="3" s="1"/>
  <c r="A53" i="3"/>
  <c r="B53" i="3" s="1"/>
  <c r="A54" i="3"/>
  <c r="B54" i="3" s="1"/>
  <c r="A55" i="3"/>
  <c r="B55" i="3" s="1"/>
  <c r="A56" i="3"/>
  <c r="B56" i="3" s="1"/>
  <c r="A57" i="3"/>
  <c r="B57" i="3" s="1"/>
  <c r="A58" i="3"/>
  <c r="B58" i="3" s="1"/>
  <c r="A59" i="3"/>
  <c r="B59" i="3" s="1"/>
  <c r="A60" i="3"/>
  <c r="B60" i="3" s="1"/>
  <c r="A61" i="3"/>
  <c r="B61" i="3" s="1"/>
  <c r="A62" i="3"/>
  <c r="B62" i="3" s="1"/>
  <c r="A63" i="3"/>
  <c r="B63" i="3" s="1"/>
  <c r="A64" i="3"/>
  <c r="B64" i="3" s="1"/>
  <c r="A65" i="3"/>
  <c r="B65" i="3" s="1"/>
  <c r="A66" i="3"/>
  <c r="B66" i="3" s="1"/>
  <c r="A67" i="3"/>
  <c r="B67" i="3" s="1"/>
  <c r="A68" i="3"/>
  <c r="B68" i="3" s="1"/>
  <c r="A69" i="3"/>
  <c r="B69" i="3" s="1"/>
  <c r="A70" i="3"/>
  <c r="B70" i="3" s="1"/>
  <c r="A71" i="3"/>
  <c r="B71" i="3" s="1"/>
  <c r="A72" i="3"/>
  <c r="B72" i="3" s="1"/>
  <c r="A73" i="3"/>
  <c r="B73" i="3" s="1"/>
  <c r="A74" i="3"/>
  <c r="B74" i="3" s="1"/>
  <c r="A75" i="3"/>
  <c r="B75" i="3" s="1"/>
  <c r="A76" i="3"/>
  <c r="B76" i="3" s="1"/>
  <c r="A77" i="3"/>
  <c r="B77" i="3" s="1"/>
  <c r="A78" i="3"/>
  <c r="B78" i="3" s="1"/>
  <c r="A79" i="3"/>
  <c r="B79" i="3" s="1"/>
  <c r="A80" i="3"/>
  <c r="B80" i="3" s="1"/>
  <c r="A81" i="3"/>
  <c r="B81" i="3" s="1"/>
  <c r="A82" i="3"/>
  <c r="B82" i="3" s="1"/>
  <c r="A83" i="3"/>
  <c r="B83" i="3" s="1"/>
  <c r="A84" i="3"/>
  <c r="B84" i="3" s="1"/>
  <c r="A85" i="3"/>
  <c r="B85" i="3" s="1"/>
  <c r="A86" i="3"/>
  <c r="B86" i="3" s="1"/>
  <c r="A87" i="3"/>
  <c r="B87" i="3" s="1"/>
  <c r="A88" i="3"/>
  <c r="B88" i="3" s="1"/>
  <c r="A89" i="3"/>
  <c r="B89" i="3" s="1"/>
  <c r="A90" i="3"/>
  <c r="B90" i="3" s="1"/>
  <c r="A91" i="3"/>
  <c r="B91" i="3" s="1"/>
  <c r="A92" i="3"/>
  <c r="B92" i="3" s="1"/>
  <c r="A93" i="3"/>
  <c r="B93" i="3" s="1"/>
  <c r="A94" i="3"/>
  <c r="B94" i="3" s="1"/>
  <c r="A95" i="3"/>
  <c r="B95" i="3" s="1"/>
  <c r="A96" i="3"/>
  <c r="B96" i="3" s="1"/>
  <c r="A97" i="3"/>
  <c r="B97" i="3" s="1"/>
  <c r="A98" i="3"/>
  <c r="B98" i="3" s="1"/>
  <c r="A99" i="3"/>
  <c r="B99" i="3" s="1"/>
  <c r="A100" i="3"/>
  <c r="B100" i="3" s="1"/>
  <c r="A101" i="3"/>
  <c r="B101" i="3" s="1"/>
  <c r="A102" i="3"/>
  <c r="B102" i="3" s="1"/>
  <c r="A103" i="3"/>
  <c r="B103" i="3" s="1"/>
  <c r="A104" i="3"/>
  <c r="B104" i="3" s="1"/>
  <c r="A105" i="3"/>
  <c r="B105" i="3" s="1"/>
  <c r="A106" i="3"/>
  <c r="B106" i="3" s="1"/>
  <c r="A107" i="3"/>
  <c r="B107" i="3" s="1"/>
  <c r="A108" i="3"/>
  <c r="B108" i="3" s="1"/>
  <c r="A109" i="3"/>
  <c r="B109" i="3" s="1"/>
  <c r="A110" i="3"/>
  <c r="B110" i="3" s="1"/>
  <c r="A111" i="3"/>
  <c r="B111" i="3" s="1"/>
  <c r="A112" i="3"/>
  <c r="B112" i="3" s="1"/>
  <c r="A113" i="3"/>
  <c r="B113" i="3" s="1"/>
  <c r="A114" i="3"/>
  <c r="B114" i="3" s="1"/>
  <c r="A115" i="3"/>
  <c r="B115" i="3" s="1"/>
  <c r="A116" i="3"/>
  <c r="B116" i="3" s="1"/>
  <c r="A117" i="3"/>
  <c r="B117" i="3" s="1"/>
  <c r="A118" i="3"/>
  <c r="B118" i="3" s="1"/>
  <c r="A119" i="3"/>
  <c r="B119" i="3" s="1"/>
  <c r="A120" i="3"/>
  <c r="B120" i="3" s="1"/>
  <c r="A121" i="3"/>
  <c r="B121" i="3" s="1"/>
  <c r="A122" i="3"/>
  <c r="B122" i="3" s="1"/>
  <c r="A123" i="3"/>
  <c r="B123" i="3" s="1"/>
  <c r="A124" i="3"/>
  <c r="B124" i="3" s="1"/>
  <c r="A125" i="3"/>
  <c r="B125" i="3" s="1"/>
  <c r="A126" i="3"/>
  <c r="B126" i="3" s="1"/>
  <c r="A127" i="3"/>
  <c r="B127" i="3" s="1"/>
  <c r="A128" i="3"/>
  <c r="B128" i="3" s="1"/>
  <c r="A129" i="3"/>
  <c r="B129" i="3" s="1"/>
  <c r="A130" i="3"/>
  <c r="B130" i="3" s="1"/>
  <c r="A131" i="3"/>
  <c r="B131" i="3" s="1"/>
  <c r="A132" i="3"/>
  <c r="B132" i="3" s="1"/>
  <c r="A133" i="3"/>
  <c r="B133" i="3" s="1"/>
  <c r="A134" i="3"/>
  <c r="B134" i="3" s="1"/>
  <c r="A135" i="3"/>
  <c r="B135" i="3" s="1"/>
  <c r="A136" i="3"/>
  <c r="B136" i="3" s="1"/>
  <c r="A137" i="3"/>
  <c r="B137" i="3" s="1"/>
  <c r="A138" i="3"/>
  <c r="B138" i="3" s="1"/>
  <c r="A139" i="3"/>
  <c r="B139" i="3" s="1"/>
  <c r="A140" i="3"/>
  <c r="B140" i="3" s="1"/>
  <c r="A141" i="3"/>
  <c r="B141" i="3" s="1"/>
  <c r="A142" i="3"/>
  <c r="B142" i="3" s="1"/>
  <c r="A143" i="3"/>
  <c r="B143" i="3" s="1"/>
  <c r="A144" i="3"/>
  <c r="B144" i="3" s="1"/>
  <c r="A145" i="3"/>
  <c r="B145" i="3" s="1"/>
  <c r="A146" i="3"/>
  <c r="B146" i="3" s="1"/>
  <c r="A147" i="3"/>
  <c r="B147" i="3" s="1"/>
  <c r="A148" i="3"/>
  <c r="B148" i="3" s="1"/>
  <c r="A149" i="3"/>
  <c r="B149" i="3" s="1"/>
  <c r="A150" i="3"/>
  <c r="B150" i="3" s="1"/>
  <c r="A151" i="3"/>
  <c r="B151" i="3" s="1"/>
  <c r="A152" i="3"/>
  <c r="B152" i="3" s="1"/>
  <c r="A153" i="3"/>
  <c r="B153" i="3" s="1"/>
  <c r="A154" i="3"/>
  <c r="B154" i="3" s="1"/>
  <c r="A155" i="3"/>
  <c r="B155" i="3" s="1"/>
  <c r="A156" i="3"/>
  <c r="B156" i="3" s="1"/>
  <c r="A157" i="3"/>
  <c r="B157" i="3" s="1"/>
  <c r="A158" i="3"/>
  <c r="B158" i="3" s="1"/>
  <c r="A159" i="3"/>
  <c r="B159" i="3" s="1"/>
  <c r="A160" i="3"/>
  <c r="B160" i="3" s="1"/>
  <c r="A161" i="3"/>
  <c r="B161" i="3" s="1"/>
  <c r="A162" i="3"/>
  <c r="B162" i="3" s="1"/>
  <c r="A163" i="3"/>
  <c r="B163" i="3" s="1"/>
  <c r="A164" i="3"/>
  <c r="B164" i="3" s="1"/>
  <c r="A165" i="3"/>
  <c r="B165" i="3" s="1"/>
  <c r="A166" i="3"/>
  <c r="B166" i="3" s="1"/>
  <c r="A167" i="3"/>
  <c r="B167" i="3" s="1"/>
  <c r="A168" i="3"/>
  <c r="B168" i="3" s="1"/>
  <c r="A169" i="3"/>
  <c r="B169" i="3" s="1"/>
  <c r="A170" i="3"/>
  <c r="B170" i="3" s="1"/>
  <c r="A171" i="3"/>
  <c r="B171" i="3" s="1"/>
  <c r="A172" i="3"/>
  <c r="B172" i="3" s="1"/>
  <c r="A173" i="3"/>
  <c r="B173" i="3" s="1"/>
  <c r="A174" i="3"/>
  <c r="B174" i="3" s="1"/>
  <c r="A175" i="3"/>
  <c r="B175" i="3" s="1"/>
  <c r="A176" i="3"/>
  <c r="B176" i="3" s="1"/>
  <c r="A177" i="3"/>
  <c r="B177" i="3" s="1"/>
  <c r="A178" i="3"/>
  <c r="B178" i="3" s="1"/>
  <c r="A179" i="3"/>
  <c r="B179" i="3" s="1"/>
  <c r="A180" i="3"/>
  <c r="B180" i="3" s="1"/>
  <c r="A181" i="3"/>
  <c r="B181" i="3" s="1"/>
  <c r="A182" i="3"/>
  <c r="B182" i="3" s="1"/>
  <c r="A183" i="3"/>
  <c r="B183" i="3" s="1"/>
  <c r="A184" i="3"/>
  <c r="B184" i="3" s="1"/>
  <c r="A185" i="3"/>
  <c r="B185" i="3" s="1"/>
  <c r="A186" i="3"/>
  <c r="B186" i="3" s="1"/>
  <c r="A187" i="3"/>
  <c r="B187" i="3" s="1"/>
  <c r="A188" i="3"/>
  <c r="B188" i="3" s="1"/>
  <c r="A189" i="3"/>
  <c r="B189" i="3" s="1"/>
  <c r="A190" i="3"/>
  <c r="B190" i="3" s="1"/>
  <c r="A191" i="3"/>
  <c r="B191" i="3" s="1"/>
  <c r="A192" i="3"/>
  <c r="B192" i="3" s="1"/>
  <c r="A193" i="3"/>
  <c r="B193" i="3" s="1"/>
  <c r="A194" i="3"/>
  <c r="B194" i="3" s="1"/>
  <c r="A195" i="3"/>
  <c r="B195" i="3" s="1"/>
  <c r="A196" i="3"/>
  <c r="B196" i="3" s="1"/>
  <c r="A197" i="3"/>
  <c r="B197" i="3" s="1"/>
  <c r="A198" i="3"/>
  <c r="B198" i="3" s="1"/>
  <c r="A199" i="3"/>
  <c r="B199" i="3" s="1"/>
  <c r="A200" i="3"/>
  <c r="B200" i="3" s="1"/>
  <c r="A201" i="3"/>
  <c r="B201" i="3" s="1"/>
  <c r="A202" i="3"/>
  <c r="B202" i="3" s="1"/>
  <c r="A203" i="3"/>
  <c r="B203" i="3" s="1"/>
  <c r="A204" i="3"/>
  <c r="B204" i="3" s="1"/>
  <c r="A205" i="3"/>
  <c r="B205" i="3" s="1"/>
  <c r="A206" i="3"/>
  <c r="B206" i="3" s="1"/>
  <c r="A207" i="3"/>
  <c r="B207" i="3" s="1"/>
  <c r="A208" i="3"/>
  <c r="B208" i="3" s="1"/>
  <c r="A209" i="3"/>
  <c r="B209" i="3" s="1"/>
  <c r="A3" i="3"/>
  <c r="B3" i="3" s="1"/>
  <c r="A4" i="3"/>
  <c r="B4" i="3" s="1"/>
  <c r="A5" i="3"/>
  <c r="B5" i="3" s="1"/>
  <c r="A2" i="3"/>
  <c r="B2" i="3" s="1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P100" i="2"/>
  <c r="O100" i="2"/>
  <c r="N100" i="2"/>
  <c r="P99" i="2"/>
  <c r="O99" i="2"/>
  <c r="N99" i="2"/>
  <c r="P98" i="2"/>
  <c r="O98" i="2"/>
  <c r="N98" i="2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N92" i="2"/>
  <c r="P91" i="2"/>
  <c r="O91" i="2"/>
  <c r="N91" i="2"/>
  <c r="P90" i="2"/>
  <c r="O90" i="2"/>
  <c r="N90" i="2"/>
  <c r="P89" i="2"/>
  <c r="O89" i="2"/>
  <c r="N89" i="2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3" i="2"/>
  <c r="O83" i="2"/>
  <c r="N83" i="2"/>
  <c r="P82" i="2"/>
  <c r="O82" i="2"/>
  <c r="N82" i="2"/>
  <c r="P81" i="2"/>
  <c r="O81" i="2"/>
  <c r="N81" i="2"/>
  <c r="P80" i="2"/>
  <c r="O80" i="2"/>
  <c r="N80" i="2"/>
  <c r="P79" i="2"/>
  <c r="O79" i="2"/>
  <c r="N79" i="2"/>
  <c r="P78" i="2"/>
  <c r="O78" i="2"/>
  <c r="N78" i="2"/>
  <c r="P77" i="2"/>
  <c r="O77" i="2"/>
  <c r="N77" i="2"/>
  <c r="P76" i="2"/>
  <c r="O76" i="2"/>
  <c r="N76" i="2"/>
  <c r="P75" i="2"/>
  <c r="O75" i="2"/>
  <c r="N75" i="2"/>
  <c r="P74" i="2"/>
  <c r="O74" i="2"/>
  <c r="N74" i="2"/>
  <c r="P73" i="2"/>
  <c r="O73" i="2"/>
  <c r="N73" i="2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P60" i="2"/>
  <c r="O60" i="2"/>
  <c r="N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P4" i="2"/>
  <c r="O4" i="2"/>
  <c r="N4" i="2"/>
  <c r="P3" i="2"/>
  <c r="O3" i="2"/>
  <c r="N3" i="2"/>
  <c r="P2" i="2"/>
  <c r="O2" i="2"/>
  <c r="N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2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7" i="1"/>
  <c r="I8" i="1"/>
  <c r="I9" i="1"/>
  <c r="I10" i="1"/>
  <c r="I11" i="1"/>
  <c r="I12" i="1"/>
  <c r="I13" i="1"/>
  <c r="I14" i="1"/>
  <c r="I15" i="1"/>
  <c r="I16" i="1"/>
  <c r="I17" i="1"/>
  <c r="I18" i="1"/>
  <c r="I3" i="1"/>
  <c r="I4" i="1"/>
  <c r="I5" i="1"/>
  <c r="I6" i="1"/>
  <c r="I2" i="1"/>
  <c r="E21" i="6" l="1"/>
</calcChain>
</file>

<file path=xl/sharedStrings.xml><?xml version="1.0" encoding="utf-8"?>
<sst xmlns="http://schemas.openxmlformats.org/spreadsheetml/2006/main" count="1766" uniqueCount="350">
  <si>
    <t>Match No</t>
  </si>
  <si>
    <t>Date</t>
  </si>
  <si>
    <t>Stage</t>
  </si>
  <si>
    <t>Team_A</t>
  </si>
  <si>
    <t>Team_B</t>
  </si>
  <si>
    <t>Goals_A</t>
  </si>
  <si>
    <t>Goals_B</t>
  </si>
  <si>
    <t>Shootout</t>
  </si>
  <si>
    <t>Goal_diff</t>
  </si>
  <si>
    <t>Set_80_20</t>
  </si>
  <si>
    <t>Set_70_30</t>
  </si>
  <si>
    <t>Knockout</t>
  </si>
  <si>
    <t>Mexico mx</t>
  </si>
  <si>
    <t>Korea Republic kr</t>
  </si>
  <si>
    <t>Canada ca</t>
  </si>
  <si>
    <t>USA us</t>
  </si>
  <si>
    <t>Qatar qa</t>
  </si>
  <si>
    <t>Brazil br</t>
  </si>
  <si>
    <t>Australia au</t>
  </si>
  <si>
    <t>Haiti ht</t>
  </si>
  <si>
    <t>Germany de</t>
  </si>
  <si>
    <t>Netherlands nl</t>
  </si>
  <si>
    <t>Côte d'Ivoire ci</t>
  </si>
  <si>
    <t>Sweden se</t>
  </si>
  <si>
    <t>Belgium be</t>
  </si>
  <si>
    <t>Spain es</t>
  </si>
  <si>
    <t>Saudi Arabia sa</t>
  </si>
  <si>
    <t>IR Iran ir</t>
  </si>
  <si>
    <t>France fr</t>
  </si>
  <si>
    <t>Iraq iq</t>
  </si>
  <si>
    <t>Argentina ar</t>
  </si>
  <si>
    <t>Austria at</t>
  </si>
  <si>
    <t>Portugal pt</t>
  </si>
  <si>
    <t>England eng</t>
  </si>
  <si>
    <t>Ghana gh</t>
  </si>
  <si>
    <t>Uzbekistan uz</t>
  </si>
  <si>
    <t>Czechia cz</t>
  </si>
  <si>
    <t>Switzerland ch</t>
  </si>
  <si>
    <t>Scotland sct</t>
  </si>
  <si>
    <t>Türkiye tr</t>
  </si>
  <si>
    <t>Ecuador ec</t>
  </si>
  <si>
    <t>Tunisia tn</t>
  </si>
  <si>
    <t>Uruguay uy</t>
  </si>
  <si>
    <t>New Zealand nz</t>
  </si>
  <si>
    <t>Norway no</t>
  </si>
  <si>
    <t>Jordan jo</t>
  </si>
  <si>
    <t>Panama pa</t>
  </si>
  <si>
    <t>Colombia co</t>
  </si>
  <si>
    <t>Bosnia–Herz ba</t>
  </si>
  <si>
    <t>Morocco ma</t>
  </si>
  <si>
    <t>South Africa za</t>
  </si>
  <si>
    <t>Curaçao cw</t>
  </si>
  <si>
    <t>Japan jp</t>
  </si>
  <si>
    <t>Paraguay py</t>
  </si>
  <si>
    <t>Senegal sn</t>
  </si>
  <si>
    <t>Cabo Verde cv</t>
  </si>
  <si>
    <t>Egypt eg</t>
  </si>
  <si>
    <t>Croatia hr</t>
  </si>
  <si>
    <t>Congo DR cd</t>
  </si>
  <si>
    <t>Algeria dz</t>
  </si>
  <si>
    <t>za South Africa</t>
  </si>
  <si>
    <t>cz Czechia</t>
  </si>
  <si>
    <t>ba Bosnia–Herz</t>
  </si>
  <si>
    <t>py Paraguay</t>
  </si>
  <si>
    <t>ch Switzerland</t>
  </si>
  <si>
    <t>ma Morocco</t>
  </si>
  <si>
    <t>tr Türkiye</t>
  </si>
  <si>
    <t>sct Scotland</t>
  </si>
  <si>
    <t>cw Curaçao</t>
  </si>
  <si>
    <t>jp Japan</t>
  </si>
  <si>
    <t>ec Ecuador</t>
  </si>
  <si>
    <t>tn Tunisia</t>
  </si>
  <si>
    <t>eg Egypt</t>
  </si>
  <si>
    <t>cv Cabo Verde</t>
  </si>
  <si>
    <t>uy Uruguay</t>
  </si>
  <si>
    <t>nz New Zealand</t>
  </si>
  <si>
    <t>sn Senegal</t>
  </si>
  <si>
    <t>no Norway</t>
  </si>
  <si>
    <t>dz Algeria</t>
  </si>
  <si>
    <t>jo Jordan</t>
  </si>
  <si>
    <t>cd Congo DR</t>
  </si>
  <si>
    <t>hr Croatia</t>
  </si>
  <si>
    <t>pa Panama</t>
  </si>
  <si>
    <t>co Colombia</t>
  </si>
  <si>
    <t>qa Qatar</t>
  </si>
  <si>
    <t>kr Korea Republic</t>
  </si>
  <si>
    <t>au Australia</t>
  </si>
  <si>
    <t>ht Haiti</t>
  </si>
  <si>
    <t>se Sweden</t>
  </si>
  <si>
    <t>ci Côte d'Ivoire</t>
  </si>
  <si>
    <t>sa Saudi Arabia</t>
  </si>
  <si>
    <t>ir IR Iran</t>
  </si>
  <si>
    <t>at Austria</t>
  </si>
  <si>
    <t>iq Iraq</t>
  </si>
  <si>
    <t>uz Uzbekistan</t>
  </si>
  <si>
    <t>gh Ghana</t>
  </si>
  <si>
    <t>ca Canada</t>
  </si>
  <si>
    <t>br Brazil</t>
  </si>
  <si>
    <t>mx Mexico</t>
  </si>
  <si>
    <t>de Germany</t>
  </si>
  <si>
    <t>nl Netherlands</t>
  </si>
  <si>
    <t>us USA</t>
  </si>
  <si>
    <t>fr France</t>
  </si>
  <si>
    <t>es Spain</t>
  </si>
  <si>
    <t>be Belgium</t>
  </si>
  <si>
    <t>eng England</t>
  </si>
  <si>
    <t>pt Portugal</t>
  </si>
  <si>
    <t>ar Argentina</t>
  </si>
  <si>
    <t>Group stage</t>
  </si>
  <si>
    <t>Round of 32</t>
  </si>
  <si>
    <t>Round of 16</t>
  </si>
  <si>
    <t>Quarter-finals</t>
  </si>
  <si>
    <t>Semi-finals</t>
  </si>
  <si>
    <t>Third-place match</t>
  </si>
  <si>
    <t>Final</t>
  </si>
  <si>
    <t>Mexico</t>
  </si>
  <si>
    <t>Korea Republic</t>
  </si>
  <si>
    <t>Canada</t>
  </si>
  <si>
    <t>USA</t>
  </si>
  <si>
    <t>Qatar</t>
  </si>
  <si>
    <t>Brazil</t>
  </si>
  <si>
    <t>Australia</t>
  </si>
  <si>
    <t>Haiti</t>
  </si>
  <si>
    <t>Germany</t>
  </si>
  <si>
    <t>Netherlands</t>
  </si>
  <si>
    <t>Côte d'Ivoire</t>
  </si>
  <si>
    <t>Sweden</t>
  </si>
  <si>
    <t>Belgium</t>
  </si>
  <si>
    <t>Spain</t>
  </si>
  <si>
    <t>Saudi Arabia</t>
  </si>
  <si>
    <t>IR Iran</t>
  </si>
  <si>
    <t>France</t>
  </si>
  <si>
    <t>Iraq</t>
  </si>
  <si>
    <t>Argentina</t>
  </si>
  <si>
    <t>Austria</t>
  </si>
  <si>
    <t>Portugal</t>
  </si>
  <si>
    <t>England</t>
  </si>
  <si>
    <t>Ghana</t>
  </si>
  <si>
    <t>Uzbekistan</t>
  </si>
  <si>
    <t>Czechia</t>
  </si>
  <si>
    <t>Switzerland</t>
  </si>
  <si>
    <t>Scotland</t>
  </si>
  <si>
    <t>Türkiye</t>
  </si>
  <si>
    <t>Ecuador</t>
  </si>
  <si>
    <t>Tunisia</t>
  </si>
  <si>
    <t>Uruguay</t>
  </si>
  <si>
    <t>New Zealand</t>
  </si>
  <si>
    <t>Norway</t>
  </si>
  <si>
    <t>Jordan</t>
  </si>
  <si>
    <t>Panama</t>
  </si>
  <si>
    <t>Colombia</t>
  </si>
  <si>
    <t>Morocco</t>
  </si>
  <si>
    <t>South Africa</t>
  </si>
  <si>
    <t>Curaçao</t>
  </si>
  <si>
    <t>Japan</t>
  </si>
  <si>
    <t>Paraguay</t>
  </si>
  <si>
    <t>Senegal</t>
  </si>
  <si>
    <t>Cabo Verde</t>
  </si>
  <si>
    <t>Egypt</t>
  </si>
  <si>
    <t>Croatia</t>
  </si>
  <si>
    <t>Congo DR</t>
  </si>
  <si>
    <t>Algeria</t>
  </si>
  <si>
    <t/>
  </si>
  <si>
    <t>3-4</t>
  </si>
  <si>
    <t>2-3</t>
  </si>
  <si>
    <t>2-4</t>
  </si>
  <si>
    <t>4-3</t>
  </si>
  <si>
    <t>Round</t>
  </si>
  <si>
    <t>Wk</t>
  </si>
  <si>
    <t>Day</t>
  </si>
  <si>
    <t>Time</t>
  </si>
  <si>
    <t>Home</t>
  </si>
  <si>
    <t>Score</t>
  </si>
  <si>
    <t>Away</t>
  </si>
  <si>
    <t>Attendance</t>
  </si>
  <si>
    <t>Venue</t>
  </si>
  <si>
    <t>Referee</t>
  </si>
  <si>
    <t>Match Report</t>
  </si>
  <si>
    <t>Notes</t>
  </si>
  <si>
    <t>Thu</t>
  </si>
  <si>
    <t>13:00 (04:30)</t>
  </si>
  <si>
    <t>2–0</t>
  </si>
  <si>
    <t>Estadio Banorte (Neutral Site)</t>
  </si>
  <si>
    <t>Wilton Sampaio</t>
  </si>
  <si>
    <t>20:00 (11:30)</t>
  </si>
  <si>
    <t>2–1</t>
  </si>
  <si>
    <t>Estadio Akron (Neutral Site)</t>
  </si>
  <si>
    <t>Amin Omar</t>
  </si>
  <si>
    <t>Fri</t>
  </si>
  <si>
    <t>15:00 (04:30)</t>
  </si>
  <si>
    <t>1–1</t>
  </si>
  <si>
    <t>BMO Field (Neutral Site)</t>
  </si>
  <si>
    <t>Facundo Tello</t>
  </si>
  <si>
    <t>18:00 (10:30)</t>
  </si>
  <si>
    <t>4–1</t>
  </si>
  <si>
    <t>SoFi Stadium (Neutral Site)</t>
  </si>
  <si>
    <t>Danny Makkelie</t>
  </si>
  <si>
    <t>Sat</t>
  </si>
  <si>
    <t>12:00 (04:30)</t>
  </si>
  <si>
    <t>Levi's Stadium (Neutral Site)</t>
  </si>
  <si>
    <t>Said Martínez</t>
  </si>
  <si>
    <t>18:00 (07:30)</t>
  </si>
  <si>
    <t>MetLife Stadium (Neutral Site)</t>
  </si>
  <si>
    <t>Slavko Vinčič</t>
  </si>
  <si>
    <t>21:00 (13:30)</t>
  </si>
  <si>
    <t>BC Place Stadium (Neutral Site)</t>
  </si>
  <si>
    <t>Jesús Valenzuela</t>
  </si>
  <si>
    <t>21:00 (10:30)</t>
  </si>
  <si>
    <t>0–1</t>
  </si>
  <si>
    <t>Gillette Stadium (Neutral Site)</t>
  </si>
  <si>
    <t>Mustapha Ghorbal</t>
  </si>
  <si>
    <t>Sun</t>
  </si>
  <si>
    <t>12:00 (02:30)</t>
  </si>
  <si>
    <t>7–1</t>
  </si>
  <si>
    <t>Reliant Stadium (Neutral Site)</t>
  </si>
  <si>
    <t>Jalal Jiyed</t>
  </si>
  <si>
    <t>15:00 (05:30)</t>
  </si>
  <si>
    <t>2–2</t>
  </si>
  <si>
    <t>AT&amp;T Stadium (Neutral Site)</t>
  </si>
  <si>
    <t>Ismail Elfath</t>
  </si>
  <si>
    <t>19:00 (08:30)</t>
  </si>
  <si>
    <t>1–0</t>
  </si>
  <si>
    <t>Lincoln Financial Field (Neutral Site)</t>
  </si>
  <si>
    <t>François Letexier</t>
  </si>
  <si>
    <t>5–1</t>
  </si>
  <si>
    <t>Estadio BBVA (Neutral Site)</t>
  </si>
  <si>
    <t>Yael Falcón</t>
  </si>
  <si>
    <t>Mon</t>
  </si>
  <si>
    <t>Lumen Field (Neutral Site)</t>
  </si>
  <si>
    <t>Ramon Abatti</t>
  </si>
  <si>
    <t>12:00 (01:30)</t>
  </si>
  <si>
    <t>0–0</t>
  </si>
  <si>
    <t>Mercedes-Benz Stadium (Neutral Site)</t>
  </si>
  <si>
    <t>Adham Makhadmeh</t>
  </si>
  <si>
    <t>Hard Rock Stadium (Neutral Site)</t>
  </si>
  <si>
    <t>Maurizio Mariani</t>
  </si>
  <si>
    <t>César Arturo Ramos</t>
  </si>
  <si>
    <t>Tue</t>
  </si>
  <si>
    <t>3–1</t>
  </si>
  <si>
    <t>Alireza Faghani</t>
  </si>
  <si>
    <t>1–4</t>
  </si>
  <si>
    <t>Pierre Ghislain Atcho</t>
  </si>
  <si>
    <t>20:00 (10:30)</t>
  </si>
  <si>
    <t>3–0</t>
  </si>
  <si>
    <t>GEHA Field at Arrowhead Stadium (Neutral Site)</t>
  </si>
  <si>
    <t>Szymon Marciniak</t>
  </si>
  <si>
    <t>Dahane Beida</t>
  </si>
  <si>
    <t>Wed</t>
  </si>
  <si>
    <t>Abdulrahman Ibrahim Al Jassim</t>
  </si>
  <si>
    <t>4–2</t>
  </si>
  <si>
    <t>Clément Turpin</t>
  </si>
  <si>
    <t>Glenn Nyberg</t>
  </si>
  <si>
    <t>1–3</t>
  </si>
  <si>
    <t>Anthony Taylor</t>
  </si>
  <si>
    <t>Tori Penso</t>
  </si>
  <si>
    <t>João Pinheiro</t>
  </si>
  <si>
    <t>15:00 (07:30)</t>
  </si>
  <si>
    <t>6–0</t>
  </si>
  <si>
    <t>Cristián Garay</t>
  </si>
  <si>
    <t>19:00 (10:30)</t>
  </si>
  <si>
    <t>Gustavo Tejera</t>
  </si>
  <si>
    <t>Felix Zwayer</t>
  </si>
  <si>
    <t>Ilgiz Tantashev</t>
  </si>
  <si>
    <t>20:00 (12:30)</t>
  </si>
  <si>
    <t>Iván Barton</t>
  </si>
  <si>
    <t>20:30 (10:00)</t>
  </si>
  <si>
    <t>Alejandro Hernández</t>
  </si>
  <si>
    <t>Michael Oliver</t>
  </si>
  <si>
    <t>16:00 (05:30)</t>
  </si>
  <si>
    <t>Juan Gabriel Benítez</t>
  </si>
  <si>
    <t>19:00 (09:30)</t>
  </si>
  <si>
    <t>Ma Ning</t>
  </si>
  <si>
    <t>22:00 (13:30)</t>
  </si>
  <si>
    <t>0–4</t>
  </si>
  <si>
    <t>István Kovács</t>
  </si>
  <si>
    <t>4–0</t>
  </si>
  <si>
    <t>Raphael Claus</t>
  </si>
  <si>
    <t>Darío Herrera</t>
  </si>
  <si>
    <t>Espen Eskås</t>
  </si>
  <si>
    <t>Omar Mohamed Al Ali</t>
  </si>
  <si>
    <t>17:00 (06:30)</t>
  </si>
  <si>
    <t>Drew Fischer</t>
  </si>
  <si>
    <t>20:00 (09:30)</t>
  </si>
  <si>
    <t>3–2</t>
  </si>
  <si>
    <t>1–2</t>
  </si>
  <si>
    <t>5–0</t>
  </si>
  <si>
    <t>Jalal Jayed</t>
  </si>
  <si>
    <t>0–3</t>
  </si>
  <si>
    <t>0–2</t>
  </si>
  <si>
    <t>18:00 (08:30)</t>
  </si>
  <si>
    <t>Katia García</t>
  </si>
  <si>
    <t>19:00 (11:30)</t>
  </si>
  <si>
    <t>18:00 (09:30)</t>
  </si>
  <si>
    <t>1–5</t>
  </si>
  <si>
    <t>19:30 (09:00)</t>
  </si>
  <si>
    <t>21:00 (11:30)</t>
  </si>
  <si>
    <t>3–3</t>
  </si>
  <si>
    <t>16:30 (06:00)</t>
  </si>
  <si>
    <t>(3) 1–1 (4)</t>
  </si>
  <si>
    <t>Paraguay won a penalty shoot-out following extra time</t>
  </si>
  <si>
    <t>(2) 1–1 (3)</t>
  </si>
  <si>
    <t>Morocco won a penalty shoot-out following extra time</t>
  </si>
  <si>
    <t>13:00 (05:30)</t>
  </si>
  <si>
    <t>Required Extra Time</t>
  </si>
  <si>
    <t>17:00 (09:30)</t>
  </si>
  <si>
    <t>13:00 (03:30)</t>
  </si>
  <si>
    <t>(2) 1–1 (4)</t>
  </si>
  <si>
    <t>Egypt won a penalty shoot-out following extra time</t>
  </si>
  <si>
    <t>20:30 (11:00)</t>
  </si>
  <si>
    <t>2–3</t>
  </si>
  <si>
    <t>14:00 (04:30)</t>
  </si>
  <si>
    <t>(4) 0–0 (3)</t>
  </si>
  <si>
    <t>Switzerland won a penalty shoot-out following extra time</t>
  </si>
  <si>
    <t>4–6</t>
  </si>
  <si>
    <t>Team</t>
  </si>
  <si>
    <t>xG</t>
  </si>
  <si>
    <t>Constant</t>
  </si>
  <si>
    <t>Value</t>
  </si>
  <si>
    <t>WC2022_avg_goals_per_team_match</t>
  </si>
  <si>
    <t>Playing Time</t>
  </si>
  <si>
    <t>Performance</t>
  </si>
  <si>
    <t>Per 90 Minutes</t>
  </si>
  <si>
    <t>Squad</t>
  </si>
  <si>
    <t># Pl</t>
  </si>
  <si>
    <t>Age</t>
  </si>
  <si>
    <t>Poss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</si>
  <si>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</si>
  <si>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</si>
  <si>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</si>
  <si>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</si>
  <si>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</si>
  <si>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</si>
  <si>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</si>
  <si>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</si>
  <si>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</si>
  <si>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</si>
  <si>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</si>
  <si>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</si>
  <si>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</si>
  <si>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cm Cameroon</t>
  </si>
  <si>
    <t>cr Costa Rica</t>
  </si>
  <si>
    <t>dk Denmark</t>
  </si>
  <si>
    <t>pl Poland</t>
  </si>
  <si>
    <t>rs Serbia</t>
  </si>
  <si>
    <t>wls Wales</t>
  </si>
  <si>
    <t>WC2022_Goals</t>
  </si>
  <si>
    <t>Match  No</t>
  </si>
  <si>
    <t>Test</t>
  </si>
  <si>
    <t>Train</t>
  </si>
  <si>
    <t>Bosnia and Herzegovina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</si>
</sst>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70" formatCode="0;[Red]0"/>
  </numFmts>
  <fonts count="5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4"/>
      <color rgb="FF000000"/>
      <name val="-webkit-standard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949698"/>
      </right>
      <top/>
      <bottom/>
      <diagonal/>
    </border>
    <border>
      <left style="medium">
        <color rgb="FF949698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" fontId="0" fillId="0" borderId="0" xfId="0" applyNumberFormat="1"/>
    <xf numFmtId="14" fontId="1" fillId="0" borderId="0" xfId="0" applyNumberFormat="1" applyFont="1" applyAlignment="1">
      <alignment wrapText="1"/>
    </xf>
    <xf numFmtId="166" fontId="0" fillId="0" borderId="0" xfId="0" applyNumberFormat="1"/>
    <xf numFmtId="166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170" fontId="0" fillId="0" borderId="0" xfId="0" applyNumberFormat="1"/>
    <xf numFmtId="3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0" fontId="3" fillId="0" borderId="0" xfId="0" applyFont="1"/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5CE3-DC3A-6E4D-B20B-171911A7CE44}">
  <dimension ref="A1:J106"/>
  <sheetViews>
    <sheetView zoomScaleNormal="100" workbookViewId="0">
      <pane ySplit="1" topLeftCell="A2" activePane="bottomLeft" state="frozen"/>
      <selection pane="bottomLeft" activeCell="E4" sqref="E4"/>
    </sheetView>
  </sheetViews>
  <sheetFormatPr baseColWidth="10" defaultRowHeight="16"/>
  <cols>
    <col min="2" max="2" width="10.83203125" style="3"/>
    <col min="4" max="4" width="9.6640625" customWidth="1"/>
    <col min="9" max="9" width="10.83203125" style="8"/>
  </cols>
  <sheetData>
    <row r="1" spans="1:10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8" t="s">
        <v>8</v>
      </c>
      <c r="J1" t="s">
        <v>11</v>
      </c>
    </row>
    <row r="2" spans="1:10">
      <c r="A2">
        <v>1</v>
      </c>
      <c r="B2" s="4">
        <v>46184</v>
      </c>
      <c r="C2" s="7" t="s">
        <v>108</v>
      </c>
      <c r="D2" s="5" t="s">
        <v>115</v>
      </c>
      <c r="E2" s="6" t="s">
        <v>152</v>
      </c>
      <c r="F2">
        <v>2</v>
      </c>
      <c r="G2">
        <v>0</v>
      </c>
      <c r="H2" t="s">
        <v>162</v>
      </c>
      <c r="I2" s="8">
        <f>IF(OR(F2="",G2=""),"",F2-G2)</f>
        <v>2</v>
      </c>
      <c r="J2">
        <f>IF(TRIM(C2)="Group stage",0,1)</f>
        <v>0</v>
      </c>
    </row>
    <row r="3" spans="1:10" ht="30">
      <c r="A3">
        <v>2</v>
      </c>
      <c r="B3" s="4">
        <v>46184</v>
      </c>
      <c r="C3" s="7" t="s">
        <v>108</v>
      </c>
      <c r="D3" s="5" t="s">
        <v>116</v>
      </c>
      <c r="E3" s="6" t="s">
        <v>139</v>
      </c>
      <c r="F3">
        <v>2</v>
      </c>
      <c r="G3">
        <v>1</v>
      </c>
      <c r="H3" t="s">
        <v>162</v>
      </c>
      <c r="I3" s="8">
        <f t="shared" ref="I3:I52" si="0">IF(OR(F3="",G3=""),"",F3-G3)</f>
        <v>1</v>
      </c>
      <c r="J3">
        <f t="shared" ref="J3:J66" si="1">IF(TRIM(C3)="Group stage",0,1)</f>
        <v>0</v>
      </c>
    </row>
    <row r="4" spans="1:10" ht="30">
      <c r="A4">
        <v>3</v>
      </c>
      <c r="B4" s="4">
        <v>46185</v>
      </c>
      <c r="C4" s="7" t="s">
        <v>108</v>
      </c>
      <c r="D4" s="6" t="s">
        <v>117</v>
      </c>
      <c r="E4" s="6" t="s">
        <v>349</v>
      </c>
      <c r="F4">
        <v>1</v>
      </c>
      <c r="G4">
        <v>1</v>
      </c>
      <c r="H4" t="s">
        <v>162</v>
      </c>
      <c r="I4" s="8">
        <f t="shared" si="0"/>
        <v>0</v>
      </c>
      <c r="J4">
        <f t="shared" si="1"/>
        <v>0</v>
      </c>
    </row>
    <row r="5" spans="1:10">
      <c r="A5">
        <v>4</v>
      </c>
      <c r="B5" s="4">
        <v>46185</v>
      </c>
      <c r="C5" s="7" t="s">
        <v>108</v>
      </c>
      <c r="D5" s="5" t="s">
        <v>118</v>
      </c>
      <c r="E5" s="6" t="s">
        <v>155</v>
      </c>
      <c r="F5">
        <v>4</v>
      </c>
      <c r="G5">
        <v>1</v>
      </c>
      <c r="H5" t="s">
        <v>162</v>
      </c>
      <c r="I5" s="8">
        <f t="shared" si="0"/>
        <v>3</v>
      </c>
      <c r="J5">
        <f t="shared" si="1"/>
        <v>0</v>
      </c>
    </row>
    <row r="6" spans="1:10">
      <c r="A6">
        <v>5</v>
      </c>
      <c r="B6" s="4">
        <v>46186</v>
      </c>
      <c r="C6" s="7" t="s">
        <v>108</v>
      </c>
      <c r="D6" s="6" t="s">
        <v>119</v>
      </c>
      <c r="E6" s="6" t="s">
        <v>140</v>
      </c>
      <c r="F6">
        <v>1</v>
      </c>
      <c r="G6">
        <v>1</v>
      </c>
      <c r="H6" t="s">
        <v>162</v>
      </c>
      <c r="I6" s="8">
        <f t="shared" si="0"/>
        <v>0</v>
      </c>
      <c r="J6">
        <f t="shared" si="1"/>
        <v>0</v>
      </c>
    </row>
    <row r="7" spans="1:10">
      <c r="A7">
        <v>6</v>
      </c>
      <c r="B7" s="4">
        <v>46186</v>
      </c>
      <c r="C7" s="7" t="s">
        <v>108</v>
      </c>
      <c r="D7" s="6" t="s">
        <v>120</v>
      </c>
      <c r="E7" s="6" t="s">
        <v>151</v>
      </c>
      <c r="F7">
        <v>1</v>
      </c>
      <c r="G7">
        <v>1</v>
      </c>
      <c r="H7" t="s">
        <v>162</v>
      </c>
      <c r="I7" s="8">
        <f t="shared" si="0"/>
        <v>0</v>
      </c>
      <c r="J7">
        <f t="shared" si="1"/>
        <v>0</v>
      </c>
    </row>
    <row r="8" spans="1:10">
      <c r="A8">
        <v>7</v>
      </c>
      <c r="B8" s="4">
        <v>46186</v>
      </c>
      <c r="C8" s="7" t="s">
        <v>108</v>
      </c>
      <c r="D8" s="5" t="s">
        <v>121</v>
      </c>
      <c r="E8" s="6" t="s">
        <v>142</v>
      </c>
      <c r="F8">
        <v>2</v>
      </c>
      <c r="G8">
        <v>0</v>
      </c>
      <c r="H8" t="s">
        <v>162</v>
      </c>
      <c r="I8" s="8">
        <f t="shared" si="0"/>
        <v>2</v>
      </c>
      <c r="J8">
        <f t="shared" si="1"/>
        <v>0</v>
      </c>
    </row>
    <row r="9" spans="1:10">
      <c r="A9">
        <v>8</v>
      </c>
      <c r="B9" s="4">
        <v>46186</v>
      </c>
      <c r="C9" s="7" t="s">
        <v>108</v>
      </c>
      <c r="D9" s="6" t="s">
        <v>122</v>
      </c>
      <c r="E9" s="5" t="s">
        <v>141</v>
      </c>
      <c r="F9">
        <v>0</v>
      </c>
      <c r="G9">
        <v>1</v>
      </c>
      <c r="H9" t="s">
        <v>162</v>
      </c>
      <c r="I9" s="8">
        <f t="shared" si="0"/>
        <v>-1</v>
      </c>
      <c r="J9">
        <f t="shared" si="1"/>
        <v>0</v>
      </c>
    </row>
    <row r="10" spans="1:10">
      <c r="A10">
        <v>9</v>
      </c>
      <c r="B10" s="4">
        <v>46187</v>
      </c>
      <c r="C10" s="7" t="s">
        <v>108</v>
      </c>
      <c r="D10" s="5" t="s">
        <v>123</v>
      </c>
      <c r="E10" s="6" t="s">
        <v>153</v>
      </c>
      <c r="F10">
        <v>7</v>
      </c>
      <c r="G10">
        <v>1</v>
      </c>
      <c r="H10" t="s">
        <v>162</v>
      </c>
      <c r="I10" s="8">
        <f t="shared" si="0"/>
        <v>6</v>
      </c>
      <c r="J10">
        <f t="shared" si="1"/>
        <v>0</v>
      </c>
    </row>
    <row r="11" spans="1:10">
      <c r="A11">
        <v>10</v>
      </c>
      <c r="B11" s="4">
        <v>46187</v>
      </c>
      <c r="C11" s="7" t="s">
        <v>108</v>
      </c>
      <c r="D11" s="6" t="s">
        <v>124</v>
      </c>
      <c r="E11" s="6" t="s">
        <v>154</v>
      </c>
      <c r="F11">
        <v>2</v>
      </c>
      <c r="G11">
        <v>2</v>
      </c>
      <c r="H11" t="s">
        <v>162</v>
      </c>
      <c r="I11" s="8">
        <f t="shared" si="0"/>
        <v>0</v>
      </c>
      <c r="J11">
        <f t="shared" si="1"/>
        <v>0</v>
      </c>
    </row>
    <row r="12" spans="1:10">
      <c r="A12">
        <v>11</v>
      </c>
      <c r="B12" s="4">
        <v>46187</v>
      </c>
      <c r="C12" s="7" t="s">
        <v>108</v>
      </c>
      <c r="D12" s="5" t="s">
        <v>125</v>
      </c>
      <c r="E12" s="6" t="s">
        <v>143</v>
      </c>
      <c r="F12">
        <v>1</v>
      </c>
      <c r="G12">
        <v>0</v>
      </c>
      <c r="H12" t="s">
        <v>162</v>
      </c>
      <c r="I12" s="8">
        <f t="shared" si="0"/>
        <v>1</v>
      </c>
      <c r="J12">
        <f t="shared" si="1"/>
        <v>0</v>
      </c>
    </row>
    <row r="13" spans="1:10">
      <c r="A13">
        <v>12</v>
      </c>
      <c r="B13" s="4">
        <v>46187</v>
      </c>
      <c r="C13" s="7" t="s">
        <v>108</v>
      </c>
      <c r="D13" s="5" t="s">
        <v>126</v>
      </c>
      <c r="E13" s="6" t="s">
        <v>144</v>
      </c>
      <c r="F13">
        <v>5</v>
      </c>
      <c r="G13">
        <v>1</v>
      </c>
      <c r="H13" t="s">
        <v>162</v>
      </c>
      <c r="I13" s="8">
        <f t="shared" si="0"/>
        <v>4</v>
      </c>
      <c r="J13">
        <f t="shared" si="1"/>
        <v>0</v>
      </c>
    </row>
    <row r="14" spans="1:10">
      <c r="A14">
        <v>13</v>
      </c>
      <c r="B14" s="4">
        <v>46188</v>
      </c>
      <c r="C14" s="7" t="s">
        <v>108</v>
      </c>
      <c r="D14" s="6" t="s">
        <v>127</v>
      </c>
      <c r="E14" s="6" t="s">
        <v>158</v>
      </c>
      <c r="F14">
        <v>1</v>
      </c>
      <c r="G14">
        <v>1</v>
      </c>
      <c r="H14" t="s">
        <v>162</v>
      </c>
      <c r="I14" s="8">
        <f t="shared" si="0"/>
        <v>0</v>
      </c>
      <c r="J14">
        <f t="shared" si="1"/>
        <v>0</v>
      </c>
    </row>
    <row r="15" spans="1:10">
      <c r="A15">
        <v>14</v>
      </c>
      <c r="B15" s="4">
        <v>46188</v>
      </c>
      <c r="C15" s="7" t="s">
        <v>108</v>
      </c>
      <c r="D15" s="6" t="s">
        <v>128</v>
      </c>
      <c r="E15" s="6" t="s">
        <v>157</v>
      </c>
      <c r="F15">
        <v>0</v>
      </c>
      <c r="G15">
        <v>0</v>
      </c>
      <c r="H15" t="s">
        <v>162</v>
      </c>
      <c r="I15" s="8">
        <f t="shared" si="0"/>
        <v>0</v>
      </c>
      <c r="J15">
        <f t="shared" si="1"/>
        <v>0</v>
      </c>
    </row>
    <row r="16" spans="1:10">
      <c r="A16">
        <v>15</v>
      </c>
      <c r="B16" s="4">
        <v>46188</v>
      </c>
      <c r="C16" s="7" t="s">
        <v>108</v>
      </c>
      <c r="D16" s="6" t="s">
        <v>129</v>
      </c>
      <c r="E16" s="6" t="s">
        <v>145</v>
      </c>
      <c r="F16">
        <v>1</v>
      </c>
      <c r="G16">
        <v>1</v>
      </c>
      <c r="H16" t="s">
        <v>162</v>
      </c>
      <c r="I16" s="8">
        <f t="shared" si="0"/>
        <v>0</v>
      </c>
      <c r="J16">
        <f t="shared" si="1"/>
        <v>0</v>
      </c>
    </row>
    <row r="17" spans="1:10">
      <c r="A17">
        <v>16</v>
      </c>
      <c r="B17" s="4">
        <v>46188</v>
      </c>
      <c r="C17" s="7" t="s">
        <v>108</v>
      </c>
      <c r="D17" s="6" t="s">
        <v>130</v>
      </c>
      <c r="E17" s="6" t="s">
        <v>146</v>
      </c>
      <c r="F17">
        <v>2</v>
      </c>
      <c r="G17">
        <v>2</v>
      </c>
      <c r="H17" t="s">
        <v>162</v>
      </c>
      <c r="I17" s="8">
        <f t="shared" si="0"/>
        <v>0</v>
      </c>
      <c r="J17">
        <f t="shared" si="1"/>
        <v>0</v>
      </c>
    </row>
    <row r="18" spans="1:10">
      <c r="A18">
        <v>17</v>
      </c>
      <c r="B18" s="4">
        <v>46189</v>
      </c>
      <c r="C18" s="7" t="s">
        <v>108</v>
      </c>
      <c r="D18" s="5" t="s">
        <v>131</v>
      </c>
      <c r="E18" s="6" t="s">
        <v>156</v>
      </c>
      <c r="F18">
        <v>3</v>
      </c>
      <c r="G18">
        <v>1</v>
      </c>
      <c r="H18" t="s">
        <v>162</v>
      </c>
      <c r="I18" s="8">
        <f t="shared" si="0"/>
        <v>2</v>
      </c>
      <c r="J18">
        <f t="shared" si="1"/>
        <v>0</v>
      </c>
    </row>
    <row r="19" spans="1:10">
      <c r="A19">
        <v>18</v>
      </c>
      <c r="B19" s="4">
        <v>46189</v>
      </c>
      <c r="C19" s="7" t="s">
        <v>108</v>
      </c>
      <c r="D19" s="6" t="s">
        <v>132</v>
      </c>
      <c r="E19" s="5" t="s">
        <v>147</v>
      </c>
      <c r="F19">
        <v>1</v>
      </c>
      <c r="G19">
        <v>4</v>
      </c>
      <c r="H19" t="s">
        <v>162</v>
      </c>
      <c r="I19" s="8">
        <f>IF(OR(F19="",G19=""),"",F19-G19)</f>
        <v>-3</v>
      </c>
      <c r="J19">
        <f t="shared" si="1"/>
        <v>0</v>
      </c>
    </row>
    <row r="20" spans="1:10">
      <c r="A20">
        <v>19</v>
      </c>
      <c r="B20" s="4">
        <v>46189</v>
      </c>
      <c r="C20" s="7" t="s">
        <v>108</v>
      </c>
      <c r="D20" s="5" t="s">
        <v>133</v>
      </c>
      <c r="E20" s="6" t="s">
        <v>161</v>
      </c>
      <c r="F20">
        <v>3</v>
      </c>
      <c r="G20">
        <v>0</v>
      </c>
      <c r="H20" t="s">
        <v>162</v>
      </c>
      <c r="I20" s="8">
        <f t="shared" si="0"/>
        <v>3</v>
      </c>
      <c r="J20">
        <f t="shared" si="1"/>
        <v>0</v>
      </c>
    </row>
    <row r="21" spans="1:10">
      <c r="A21">
        <v>20</v>
      </c>
      <c r="B21" s="4">
        <v>46189</v>
      </c>
      <c r="C21" s="7" t="s">
        <v>108</v>
      </c>
      <c r="D21" s="5" t="s">
        <v>134</v>
      </c>
      <c r="E21" s="6" t="s">
        <v>148</v>
      </c>
      <c r="F21">
        <v>3</v>
      </c>
      <c r="G21">
        <v>1</v>
      </c>
      <c r="H21" t="s">
        <v>162</v>
      </c>
      <c r="I21" s="8">
        <f t="shared" si="0"/>
        <v>2</v>
      </c>
      <c r="J21">
        <f t="shared" si="1"/>
        <v>0</v>
      </c>
    </row>
    <row r="22" spans="1:10">
      <c r="A22">
        <v>21</v>
      </c>
      <c r="B22" s="4">
        <v>46190</v>
      </c>
      <c r="C22" s="7" t="s">
        <v>108</v>
      </c>
      <c r="D22" s="6" t="s">
        <v>135</v>
      </c>
      <c r="E22" s="6" t="s">
        <v>160</v>
      </c>
      <c r="F22">
        <v>1</v>
      </c>
      <c r="G22">
        <v>1</v>
      </c>
      <c r="H22" t="s">
        <v>162</v>
      </c>
      <c r="I22" s="8">
        <f t="shared" si="0"/>
        <v>0</v>
      </c>
      <c r="J22">
        <f t="shared" si="1"/>
        <v>0</v>
      </c>
    </row>
    <row r="23" spans="1:10">
      <c r="A23">
        <v>22</v>
      </c>
      <c r="B23" s="4">
        <v>46190</v>
      </c>
      <c r="C23" s="7" t="s">
        <v>108</v>
      </c>
      <c r="D23" s="5" t="s">
        <v>136</v>
      </c>
      <c r="E23" s="6" t="s">
        <v>159</v>
      </c>
      <c r="F23">
        <v>4</v>
      </c>
      <c r="G23">
        <v>2</v>
      </c>
      <c r="H23" t="s">
        <v>162</v>
      </c>
      <c r="I23" s="8">
        <f t="shared" si="0"/>
        <v>2</v>
      </c>
      <c r="J23">
        <f t="shared" si="1"/>
        <v>0</v>
      </c>
    </row>
    <row r="24" spans="1:10">
      <c r="A24">
        <v>23</v>
      </c>
      <c r="B24" s="4">
        <v>46190</v>
      </c>
      <c r="C24" s="7" t="s">
        <v>108</v>
      </c>
      <c r="D24" s="5" t="s">
        <v>137</v>
      </c>
      <c r="E24" s="6" t="s">
        <v>149</v>
      </c>
      <c r="F24">
        <v>1</v>
      </c>
      <c r="G24">
        <v>0</v>
      </c>
      <c r="H24" t="s">
        <v>162</v>
      </c>
      <c r="I24" s="8">
        <f t="shared" si="0"/>
        <v>1</v>
      </c>
      <c r="J24">
        <f t="shared" si="1"/>
        <v>0</v>
      </c>
    </row>
    <row r="25" spans="1:10">
      <c r="A25">
        <v>24</v>
      </c>
      <c r="B25" s="4">
        <v>46190</v>
      </c>
      <c r="C25" s="7" t="s">
        <v>108</v>
      </c>
      <c r="D25" s="6" t="s">
        <v>138</v>
      </c>
      <c r="E25" s="5" t="s">
        <v>150</v>
      </c>
      <c r="F25">
        <v>1</v>
      </c>
      <c r="G25">
        <v>3</v>
      </c>
      <c r="H25" t="s">
        <v>162</v>
      </c>
      <c r="I25" s="8">
        <f t="shared" si="0"/>
        <v>-2</v>
      </c>
      <c r="J25">
        <f t="shared" si="1"/>
        <v>0</v>
      </c>
    </row>
    <row r="26" spans="1:10">
      <c r="A26">
        <v>25</v>
      </c>
      <c r="B26" s="4">
        <v>46191</v>
      </c>
      <c r="C26" s="7" t="s">
        <v>108</v>
      </c>
      <c r="D26" s="6" t="s">
        <v>139</v>
      </c>
      <c r="E26" s="6" t="s">
        <v>152</v>
      </c>
      <c r="F26">
        <v>1</v>
      </c>
      <c r="G26">
        <v>1</v>
      </c>
      <c r="H26" t="s">
        <v>162</v>
      </c>
      <c r="I26" s="8">
        <f t="shared" si="0"/>
        <v>0</v>
      </c>
      <c r="J26">
        <f t="shared" si="1"/>
        <v>0</v>
      </c>
    </row>
    <row r="27" spans="1:10" ht="30">
      <c r="A27">
        <v>26</v>
      </c>
      <c r="B27" s="4">
        <v>46191</v>
      </c>
      <c r="C27" s="7" t="s">
        <v>108</v>
      </c>
      <c r="D27" s="5" t="s">
        <v>140</v>
      </c>
      <c r="E27" s="6" t="s">
        <v>349</v>
      </c>
      <c r="F27">
        <v>4</v>
      </c>
      <c r="G27">
        <v>1</v>
      </c>
      <c r="H27" t="s">
        <v>162</v>
      </c>
      <c r="I27" s="8">
        <f t="shared" si="0"/>
        <v>3</v>
      </c>
      <c r="J27">
        <f t="shared" si="1"/>
        <v>0</v>
      </c>
    </row>
    <row r="28" spans="1:10">
      <c r="A28">
        <v>27</v>
      </c>
      <c r="B28" s="4">
        <v>46191</v>
      </c>
      <c r="C28" s="7" t="s">
        <v>108</v>
      </c>
      <c r="D28" s="5" t="s">
        <v>117</v>
      </c>
      <c r="E28" s="6" t="s">
        <v>119</v>
      </c>
      <c r="F28">
        <v>6</v>
      </c>
      <c r="G28">
        <v>0</v>
      </c>
      <c r="H28" t="s">
        <v>162</v>
      </c>
      <c r="I28" s="8">
        <f t="shared" si="0"/>
        <v>6</v>
      </c>
      <c r="J28">
        <f t="shared" si="1"/>
        <v>0</v>
      </c>
    </row>
    <row r="29" spans="1:10" ht="30">
      <c r="A29">
        <v>28</v>
      </c>
      <c r="B29" s="4">
        <v>46191</v>
      </c>
      <c r="C29" s="7" t="s">
        <v>108</v>
      </c>
      <c r="D29" s="5" t="s">
        <v>115</v>
      </c>
      <c r="E29" s="6" t="s">
        <v>116</v>
      </c>
      <c r="F29">
        <v>1</v>
      </c>
      <c r="G29">
        <v>0</v>
      </c>
      <c r="H29" t="s">
        <v>162</v>
      </c>
      <c r="I29" s="8">
        <f t="shared" si="0"/>
        <v>1</v>
      </c>
      <c r="J29">
        <f t="shared" si="1"/>
        <v>0</v>
      </c>
    </row>
    <row r="30" spans="1:10">
      <c r="A30">
        <v>29</v>
      </c>
      <c r="B30" s="4">
        <v>46192</v>
      </c>
      <c r="C30" s="7" t="s">
        <v>108</v>
      </c>
      <c r="D30" s="5" t="s">
        <v>118</v>
      </c>
      <c r="E30" s="6" t="s">
        <v>121</v>
      </c>
      <c r="F30">
        <v>2</v>
      </c>
      <c r="G30">
        <v>0</v>
      </c>
      <c r="H30" t="s">
        <v>162</v>
      </c>
      <c r="I30" s="8">
        <f t="shared" si="0"/>
        <v>2</v>
      </c>
      <c r="J30">
        <f t="shared" si="1"/>
        <v>0</v>
      </c>
    </row>
    <row r="31" spans="1:10">
      <c r="A31">
        <v>30</v>
      </c>
      <c r="B31" s="4">
        <v>46192</v>
      </c>
      <c r="C31" s="7" t="s">
        <v>108</v>
      </c>
      <c r="D31" s="6" t="s">
        <v>141</v>
      </c>
      <c r="E31" s="5" t="s">
        <v>151</v>
      </c>
      <c r="F31">
        <v>0</v>
      </c>
      <c r="G31">
        <v>1</v>
      </c>
      <c r="H31" t="s">
        <v>162</v>
      </c>
      <c r="I31" s="8">
        <f t="shared" si="0"/>
        <v>-1</v>
      </c>
      <c r="J31">
        <f t="shared" si="1"/>
        <v>0</v>
      </c>
    </row>
    <row r="32" spans="1:10">
      <c r="A32">
        <v>31</v>
      </c>
      <c r="B32" s="4">
        <v>46192</v>
      </c>
      <c r="C32" s="7" t="s">
        <v>108</v>
      </c>
      <c r="D32" s="6" t="s">
        <v>142</v>
      </c>
      <c r="E32" s="5" t="s">
        <v>155</v>
      </c>
      <c r="F32">
        <v>0</v>
      </c>
      <c r="G32">
        <v>1</v>
      </c>
      <c r="H32" t="s">
        <v>162</v>
      </c>
      <c r="I32" s="8">
        <f t="shared" si="0"/>
        <v>-1</v>
      </c>
      <c r="J32">
        <f t="shared" si="1"/>
        <v>0</v>
      </c>
    </row>
    <row r="33" spans="1:10">
      <c r="A33">
        <v>32</v>
      </c>
      <c r="B33" s="4">
        <v>46192</v>
      </c>
      <c r="C33" s="7" t="s">
        <v>108</v>
      </c>
      <c r="D33" s="5" t="s">
        <v>120</v>
      </c>
      <c r="E33" s="6" t="s">
        <v>122</v>
      </c>
      <c r="F33">
        <v>3</v>
      </c>
      <c r="G33">
        <v>0</v>
      </c>
      <c r="H33" t="s">
        <v>162</v>
      </c>
      <c r="I33" s="8">
        <f t="shared" si="0"/>
        <v>3</v>
      </c>
      <c r="J33">
        <f t="shared" si="1"/>
        <v>0</v>
      </c>
    </row>
    <row r="34" spans="1:10">
      <c r="A34">
        <v>33</v>
      </c>
      <c r="B34" s="4">
        <v>46193</v>
      </c>
      <c r="C34" s="7" t="s">
        <v>108</v>
      </c>
      <c r="D34" s="5" t="s">
        <v>124</v>
      </c>
      <c r="E34" s="6" t="s">
        <v>126</v>
      </c>
      <c r="F34">
        <v>5</v>
      </c>
      <c r="G34">
        <v>1</v>
      </c>
      <c r="H34" t="s">
        <v>162</v>
      </c>
      <c r="I34" s="8">
        <f t="shared" si="0"/>
        <v>4</v>
      </c>
      <c r="J34">
        <f t="shared" si="1"/>
        <v>0</v>
      </c>
    </row>
    <row r="35" spans="1:10">
      <c r="A35">
        <v>34</v>
      </c>
      <c r="B35" s="4">
        <v>46193</v>
      </c>
      <c r="C35" s="7" t="s">
        <v>108</v>
      </c>
      <c r="D35" s="5" t="s">
        <v>123</v>
      </c>
      <c r="E35" s="6" t="s">
        <v>125</v>
      </c>
      <c r="F35">
        <v>2</v>
      </c>
      <c r="G35">
        <v>1</v>
      </c>
      <c r="H35" t="s">
        <v>162</v>
      </c>
      <c r="I35" s="8">
        <f t="shared" si="0"/>
        <v>1</v>
      </c>
      <c r="J35">
        <f t="shared" si="1"/>
        <v>0</v>
      </c>
    </row>
    <row r="36" spans="1:10">
      <c r="A36">
        <v>35</v>
      </c>
      <c r="B36" s="4">
        <v>46193</v>
      </c>
      <c r="C36" s="7" t="s">
        <v>108</v>
      </c>
      <c r="D36" s="6" t="s">
        <v>143</v>
      </c>
      <c r="E36" s="6" t="s">
        <v>153</v>
      </c>
      <c r="F36">
        <v>0</v>
      </c>
      <c r="G36">
        <v>0</v>
      </c>
      <c r="H36" t="s">
        <v>162</v>
      </c>
      <c r="I36" s="8">
        <f>IF(OR(F36="",G36=""),"",F36-G36)</f>
        <v>0</v>
      </c>
      <c r="J36">
        <f t="shared" si="1"/>
        <v>0</v>
      </c>
    </row>
    <row r="37" spans="1:10">
      <c r="A37">
        <v>36</v>
      </c>
      <c r="B37" s="4">
        <v>46193</v>
      </c>
      <c r="C37" s="7" t="s">
        <v>108</v>
      </c>
      <c r="D37" s="6" t="s">
        <v>144</v>
      </c>
      <c r="E37" s="5" t="s">
        <v>154</v>
      </c>
      <c r="F37">
        <v>0</v>
      </c>
      <c r="G37">
        <v>4</v>
      </c>
      <c r="H37" t="s">
        <v>162</v>
      </c>
      <c r="I37" s="8">
        <f t="shared" si="0"/>
        <v>-4</v>
      </c>
      <c r="J37">
        <f t="shared" si="1"/>
        <v>0</v>
      </c>
    </row>
    <row r="38" spans="1:10">
      <c r="A38">
        <v>37</v>
      </c>
      <c r="B38" s="4">
        <v>46194</v>
      </c>
      <c r="C38" s="7" t="s">
        <v>108</v>
      </c>
      <c r="D38" s="5" t="s">
        <v>128</v>
      </c>
      <c r="E38" s="6" t="s">
        <v>129</v>
      </c>
      <c r="F38">
        <v>4</v>
      </c>
      <c r="G38">
        <v>0</v>
      </c>
      <c r="H38" t="s">
        <v>162</v>
      </c>
      <c r="I38" s="8">
        <f t="shared" si="0"/>
        <v>4</v>
      </c>
      <c r="J38">
        <f t="shared" si="1"/>
        <v>0</v>
      </c>
    </row>
    <row r="39" spans="1:10">
      <c r="A39">
        <v>38</v>
      </c>
      <c r="B39" s="4">
        <v>46194</v>
      </c>
      <c r="C39" s="7" t="s">
        <v>108</v>
      </c>
      <c r="D39" s="6" t="s">
        <v>127</v>
      </c>
      <c r="E39" s="6" t="s">
        <v>130</v>
      </c>
      <c r="F39">
        <v>0</v>
      </c>
      <c r="G39">
        <v>0</v>
      </c>
      <c r="H39" t="s">
        <v>162</v>
      </c>
      <c r="I39" s="8">
        <f t="shared" si="0"/>
        <v>0</v>
      </c>
      <c r="J39">
        <f t="shared" si="1"/>
        <v>0</v>
      </c>
    </row>
    <row r="40" spans="1:10">
      <c r="A40">
        <v>39</v>
      </c>
      <c r="B40" s="4">
        <v>46194</v>
      </c>
      <c r="C40" s="7" t="s">
        <v>108</v>
      </c>
      <c r="D40" s="6" t="s">
        <v>145</v>
      </c>
      <c r="E40" s="6" t="s">
        <v>157</v>
      </c>
      <c r="F40">
        <v>2</v>
      </c>
      <c r="G40">
        <v>2</v>
      </c>
      <c r="H40" t="s">
        <v>162</v>
      </c>
      <c r="I40" s="8">
        <f t="shared" si="0"/>
        <v>0</v>
      </c>
      <c r="J40">
        <f t="shared" si="1"/>
        <v>0</v>
      </c>
    </row>
    <row r="41" spans="1:10" ht="30">
      <c r="A41">
        <v>40</v>
      </c>
      <c r="B41" s="4">
        <v>46194</v>
      </c>
      <c r="C41" s="7" t="s">
        <v>108</v>
      </c>
      <c r="D41" s="6" t="s">
        <v>146</v>
      </c>
      <c r="E41" s="5" t="s">
        <v>158</v>
      </c>
      <c r="F41">
        <v>1</v>
      </c>
      <c r="G41">
        <v>3</v>
      </c>
      <c r="H41" t="s">
        <v>162</v>
      </c>
      <c r="I41" s="8">
        <f t="shared" si="0"/>
        <v>-2</v>
      </c>
      <c r="J41">
        <f t="shared" si="1"/>
        <v>0</v>
      </c>
    </row>
    <row r="42" spans="1:10">
      <c r="A42">
        <v>41</v>
      </c>
      <c r="B42" s="4">
        <v>46195</v>
      </c>
      <c r="C42" s="7" t="s">
        <v>108</v>
      </c>
      <c r="D42" s="5" t="s">
        <v>133</v>
      </c>
      <c r="E42" s="6" t="s">
        <v>134</v>
      </c>
      <c r="F42">
        <v>2</v>
      </c>
      <c r="G42">
        <v>0</v>
      </c>
      <c r="H42" t="s">
        <v>162</v>
      </c>
      <c r="I42" s="8">
        <f t="shared" si="0"/>
        <v>2</v>
      </c>
      <c r="J42">
        <f t="shared" si="1"/>
        <v>0</v>
      </c>
    </row>
    <row r="43" spans="1:10">
      <c r="A43">
        <v>42</v>
      </c>
      <c r="B43" s="4">
        <v>46195</v>
      </c>
      <c r="C43" s="7" t="s">
        <v>108</v>
      </c>
      <c r="D43" s="5" t="s">
        <v>131</v>
      </c>
      <c r="E43" s="6" t="s">
        <v>132</v>
      </c>
      <c r="F43">
        <v>3</v>
      </c>
      <c r="G43">
        <v>0</v>
      </c>
      <c r="H43" t="s">
        <v>162</v>
      </c>
      <c r="I43" s="8">
        <f t="shared" si="0"/>
        <v>3</v>
      </c>
      <c r="J43">
        <f t="shared" si="1"/>
        <v>0</v>
      </c>
    </row>
    <row r="44" spans="1:10">
      <c r="A44">
        <v>43</v>
      </c>
      <c r="B44" s="4">
        <v>46195</v>
      </c>
      <c r="C44" s="7" t="s">
        <v>108</v>
      </c>
      <c r="D44" s="5" t="s">
        <v>147</v>
      </c>
      <c r="E44" s="6" t="s">
        <v>156</v>
      </c>
      <c r="F44">
        <v>3</v>
      </c>
      <c r="G44">
        <v>2</v>
      </c>
      <c r="H44" t="s">
        <v>162</v>
      </c>
      <c r="I44" s="8">
        <f t="shared" si="0"/>
        <v>1</v>
      </c>
      <c r="J44">
        <f t="shared" si="1"/>
        <v>0</v>
      </c>
    </row>
    <row r="45" spans="1:10">
      <c r="A45">
        <v>44</v>
      </c>
      <c r="B45" s="4">
        <v>46195</v>
      </c>
      <c r="C45" s="7" t="s">
        <v>108</v>
      </c>
      <c r="D45" s="6" t="s">
        <v>148</v>
      </c>
      <c r="E45" s="5" t="s">
        <v>161</v>
      </c>
      <c r="F45">
        <v>1</v>
      </c>
      <c r="G45">
        <v>2</v>
      </c>
      <c r="H45" t="s">
        <v>162</v>
      </c>
      <c r="I45" s="8">
        <f t="shared" si="0"/>
        <v>-1</v>
      </c>
      <c r="J45">
        <f t="shared" si="1"/>
        <v>0</v>
      </c>
    </row>
    <row r="46" spans="1:10">
      <c r="A46">
        <v>45</v>
      </c>
      <c r="B46" s="4">
        <v>46196</v>
      </c>
      <c r="C46" s="7" t="s">
        <v>108</v>
      </c>
      <c r="D46" s="5" t="s">
        <v>135</v>
      </c>
      <c r="E46" s="6" t="s">
        <v>138</v>
      </c>
      <c r="F46">
        <v>5</v>
      </c>
      <c r="G46">
        <v>0</v>
      </c>
      <c r="H46" t="s">
        <v>162</v>
      </c>
      <c r="I46" s="8">
        <f t="shared" si="0"/>
        <v>5</v>
      </c>
      <c r="J46">
        <f t="shared" si="1"/>
        <v>0</v>
      </c>
    </row>
    <row r="47" spans="1:10">
      <c r="A47">
        <v>46</v>
      </c>
      <c r="B47" s="4">
        <v>46196</v>
      </c>
      <c r="C47" s="7" t="s">
        <v>108</v>
      </c>
      <c r="D47" s="6" t="s">
        <v>136</v>
      </c>
      <c r="E47" s="6" t="s">
        <v>137</v>
      </c>
      <c r="F47">
        <v>0</v>
      </c>
      <c r="G47">
        <v>0</v>
      </c>
      <c r="H47" t="s">
        <v>162</v>
      </c>
      <c r="I47" s="8">
        <f t="shared" si="0"/>
        <v>0</v>
      </c>
      <c r="J47">
        <f t="shared" si="1"/>
        <v>0</v>
      </c>
    </row>
    <row r="48" spans="1:10">
      <c r="A48">
        <v>47</v>
      </c>
      <c r="B48" s="4">
        <v>46196</v>
      </c>
      <c r="C48" s="7" t="s">
        <v>108</v>
      </c>
      <c r="D48" s="6" t="s">
        <v>149</v>
      </c>
      <c r="E48" s="5" t="s">
        <v>159</v>
      </c>
      <c r="F48">
        <v>0</v>
      </c>
      <c r="G48">
        <v>1</v>
      </c>
      <c r="H48" t="s">
        <v>162</v>
      </c>
      <c r="I48" s="8">
        <f t="shared" si="0"/>
        <v>-1</v>
      </c>
      <c r="J48">
        <f t="shared" si="1"/>
        <v>0</v>
      </c>
    </row>
    <row r="49" spans="1:10">
      <c r="A49">
        <v>48</v>
      </c>
      <c r="B49" s="4">
        <v>46196</v>
      </c>
      <c r="C49" s="7" t="s">
        <v>108</v>
      </c>
      <c r="D49" s="5" t="s">
        <v>150</v>
      </c>
      <c r="E49" s="6" t="s">
        <v>160</v>
      </c>
      <c r="F49">
        <v>1</v>
      </c>
      <c r="G49">
        <v>0</v>
      </c>
      <c r="H49" t="s">
        <v>162</v>
      </c>
      <c r="I49" s="8">
        <f t="shared" si="0"/>
        <v>1</v>
      </c>
      <c r="J49">
        <f t="shared" si="1"/>
        <v>0</v>
      </c>
    </row>
    <row r="50" spans="1:10">
      <c r="A50">
        <v>49</v>
      </c>
      <c r="B50" s="4">
        <v>46197</v>
      </c>
      <c r="C50" s="7" t="s">
        <v>108</v>
      </c>
      <c r="D50" s="5" t="s">
        <v>140</v>
      </c>
      <c r="E50" s="6" t="s">
        <v>117</v>
      </c>
      <c r="F50">
        <v>2</v>
      </c>
      <c r="G50">
        <v>1</v>
      </c>
      <c r="H50" t="s">
        <v>162</v>
      </c>
      <c r="I50" s="8">
        <f t="shared" si="0"/>
        <v>1</v>
      </c>
      <c r="J50">
        <f t="shared" si="1"/>
        <v>0</v>
      </c>
    </row>
    <row r="51" spans="1:10" ht="30">
      <c r="A51">
        <v>50</v>
      </c>
      <c r="B51" s="4">
        <v>46197</v>
      </c>
      <c r="C51" s="7" t="s">
        <v>108</v>
      </c>
      <c r="D51" s="5" t="s">
        <v>349</v>
      </c>
      <c r="E51" s="6" t="s">
        <v>119</v>
      </c>
      <c r="F51">
        <v>3</v>
      </c>
      <c r="G51">
        <v>1</v>
      </c>
      <c r="H51" t="s">
        <v>162</v>
      </c>
      <c r="I51" s="8">
        <f t="shared" si="0"/>
        <v>2</v>
      </c>
      <c r="J51">
        <f t="shared" si="1"/>
        <v>0</v>
      </c>
    </row>
    <row r="52" spans="1:10">
      <c r="A52">
        <v>51</v>
      </c>
      <c r="B52" s="4">
        <v>46197</v>
      </c>
      <c r="C52" s="7" t="s">
        <v>108</v>
      </c>
      <c r="D52" s="6" t="s">
        <v>141</v>
      </c>
      <c r="E52" s="5" t="s">
        <v>120</v>
      </c>
      <c r="F52">
        <v>0</v>
      </c>
      <c r="G52">
        <v>3</v>
      </c>
      <c r="H52" t="s">
        <v>162</v>
      </c>
      <c r="I52" s="8">
        <f t="shared" si="0"/>
        <v>-3</v>
      </c>
      <c r="J52">
        <f t="shared" si="1"/>
        <v>0</v>
      </c>
    </row>
    <row r="53" spans="1:10">
      <c r="A53">
        <v>52</v>
      </c>
      <c r="B53" s="4">
        <v>46197</v>
      </c>
      <c r="C53" s="7" t="s">
        <v>108</v>
      </c>
      <c r="D53" s="5" t="s">
        <v>151</v>
      </c>
      <c r="E53" s="6" t="s">
        <v>122</v>
      </c>
      <c r="F53">
        <v>4</v>
      </c>
      <c r="G53">
        <v>2</v>
      </c>
      <c r="H53" t="s">
        <v>162</v>
      </c>
      <c r="I53" s="8">
        <f>IF(OR(F53="",G53=""),"",F53-G53)</f>
        <v>2</v>
      </c>
      <c r="J53">
        <f t="shared" si="1"/>
        <v>0</v>
      </c>
    </row>
    <row r="54" spans="1:10" ht="30">
      <c r="A54">
        <v>53</v>
      </c>
      <c r="B54" s="4">
        <v>46197</v>
      </c>
      <c r="C54" s="7" t="s">
        <v>108</v>
      </c>
      <c r="D54" s="5" t="s">
        <v>152</v>
      </c>
      <c r="E54" s="6" t="s">
        <v>116</v>
      </c>
      <c r="F54">
        <v>1</v>
      </c>
      <c r="G54">
        <v>0</v>
      </c>
      <c r="H54" t="s">
        <v>162</v>
      </c>
      <c r="I54" s="8">
        <f>IF(OR(F54="",G54=""),"",F54-G54)</f>
        <v>1</v>
      </c>
      <c r="J54">
        <f t="shared" si="1"/>
        <v>0</v>
      </c>
    </row>
    <row r="55" spans="1:10">
      <c r="A55">
        <v>54</v>
      </c>
      <c r="B55" s="4">
        <v>46197</v>
      </c>
      <c r="C55" s="7" t="s">
        <v>108</v>
      </c>
      <c r="D55" s="6" t="s">
        <v>139</v>
      </c>
      <c r="E55" s="5" t="s">
        <v>115</v>
      </c>
      <c r="F55">
        <v>0</v>
      </c>
      <c r="G55">
        <v>3</v>
      </c>
      <c r="H55" t="s">
        <v>162</v>
      </c>
      <c r="I55" s="8">
        <f t="shared" ref="I55:I71" si="2">IF(OR(F55="",G55=""),"",F55-G55)</f>
        <v>-3</v>
      </c>
      <c r="J55">
        <f t="shared" si="1"/>
        <v>0</v>
      </c>
    </row>
    <row r="56" spans="1:10">
      <c r="A56">
        <v>55</v>
      </c>
      <c r="B56" s="4">
        <v>46198</v>
      </c>
      <c r="C56" s="7" t="s">
        <v>108</v>
      </c>
      <c r="D56" s="6" t="s">
        <v>153</v>
      </c>
      <c r="E56" s="5" t="s">
        <v>125</v>
      </c>
      <c r="F56">
        <v>0</v>
      </c>
      <c r="G56">
        <v>2</v>
      </c>
      <c r="H56" t="s">
        <v>162</v>
      </c>
      <c r="I56" s="8">
        <f t="shared" si="2"/>
        <v>-2</v>
      </c>
      <c r="J56">
        <f t="shared" si="1"/>
        <v>0</v>
      </c>
    </row>
    <row r="57" spans="1:10">
      <c r="A57">
        <v>56</v>
      </c>
      <c r="B57" s="4">
        <v>46198</v>
      </c>
      <c r="C57" s="7" t="s">
        <v>108</v>
      </c>
      <c r="D57" s="5" t="s">
        <v>143</v>
      </c>
      <c r="E57" s="6" t="s">
        <v>123</v>
      </c>
      <c r="F57">
        <v>2</v>
      </c>
      <c r="G57">
        <v>1</v>
      </c>
      <c r="H57" t="s">
        <v>162</v>
      </c>
      <c r="I57" s="8">
        <f t="shared" si="2"/>
        <v>1</v>
      </c>
      <c r="J57">
        <f t="shared" si="1"/>
        <v>0</v>
      </c>
    </row>
    <row r="58" spans="1:10">
      <c r="A58">
        <v>57</v>
      </c>
      <c r="B58" s="4">
        <v>46198</v>
      </c>
      <c r="C58" s="7" t="s">
        <v>108</v>
      </c>
      <c r="D58" s="6" t="s">
        <v>144</v>
      </c>
      <c r="E58" s="5" t="s">
        <v>124</v>
      </c>
      <c r="F58">
        <v>1</v>
      </c>
      <c r="G58">
        <v>3</v>
      </c>
      <c r="H58" t="s">
        <v>162</v>
      </c>
      <c r="I58" s="8">
        <f t="shared" si="2"/>
        <v>-2</v>
      </c>
      <c r="J58">
        <f t="shared" si="1"/>
        <v>0</v>
      </c>
    </row>
    <row r="59" spans="1:10">
      <c r="A59">
        <v>58</v>
      </c>
      <c r="B59" s="4">
        <v>46198</v>
      </c>
      <c r="C59" s="7" t="s">
        <v>108</v>
      </c>
      <c r="D59" s="6" t="s">
        <v>154</v>
      </c>
      <c r="E59" s="6" t="s">
        <v>126</v>
      </c>
      <c r="F59">
        <v>1</v>
      </c>
      <c r="G59">
        <v>1</v>
      </c>
      <c r="H59" t="s">
        <v>162</v>
      </c>
      <c r="I59" s="8">
        <f t="shared" si="2"/>
        <v>0</v>
      </c>
      <c r="J59">
        <f t="shared" si="1"/>
        <v>0</v>
      </c>
    </row>
    <row r="60" spans="1:10">
      <c r="A60">
        <v>59</v>
      </c>
      <c r="B60" s="4">
        <v>46198</v>
      </c>
      <c r="C60" s="7" t="s">
        <v>108</v>
      </c>
      <c r="D60" s="5" t="s">
        <v>142</v>
      </c>
      <c r="E60" s="6" t="s">
        <v>118</v>
      </c>
      <c r="F60">
        <v>3</v>
      </c>
      <c r="G60">
        <v>2</v>
      </c>
      <c r="H60" t="s">
        <v>162</v>
      </c>
      <c r="I60" s="8">
        <f t="shared" si="2"/>
        <v>1</v>
      </c>
      <c r="J60">
        <f t="shared" si="1"/>
        <v>0</v>
      </c>
    </row>
    <row r="61" spans="1:10">
      <c r="A61">
        <v>60</v>
      </c>
      <c r="B61" s="4">
        <v>46198</v>
      </c>
      <c r="C61" s="7" t="s">
        <v>108</v>
      </c>
      <c r="D61" s="6" t="s">
        <v>155</v>
      </c>
      <c r="E61" s="6" t="s">
        <v>121</v>
      </c>
      <c r="F61">
        <v>0</v>
      </c>
      <c r="G61">
        <v>0</v>
      </c>
      <c r="H61" t="s">
        <v>162</v>
      </c>
      <c r="I61" s="8">
        <f t="shared" si="2"/>
        <v>0</v>
      </c>
      <c r="J61">
        <f t="shared" si="1"/>
        <v>0</v>
      </c>
    </row>
    <row r="62" spans="1:10">
      <c r="A62">
        <v>61</v>
      </c>
      <c r="B62" s="4">
        <v>46199</v>
      </c>
      <c r="C62" s="7" t="s">
        <v>108</v>
      </c>
      <c r="D62" s="6" t="s">
        <v>147</v>
      </c>
      <c r="E62" s="5" t="s">
        <v>131</v>
      </c>
      <c r="F62">
        <v>1</v>
      </c>
      <c r="G62">
        <v>4</v>
      </c>
      <c r="H62" t="s">
        <v>162</v>
      </c>
      <c r="I62" s="8">
        <f t="shared" si="2"/>
        <v>-3</v>
      </c>
      <c r="J62">
        <f t="shared" si="1"/>
        <v>0</v>
      </c>
    </row>
    <row r="63" spans="1:10">
      <c r="A63">
        <v>62</v>
      </c>
      <c r="B63" s="4">
        <v>46199</v>
      </c>
      <c r="C63" s="7" t="s">
        <v>108</v>
      </c>
      <c r="D63" s="5" t="s">
        <v>156</v>
      </c>
      <c r="E63" s="6" t="s">
        <v>132</v>
      </c>
      <c r="F63">
        <v>5</v>
      </c>
      <c r="G63">
        <v>0</v>
      </c>
      <c r="H63" t="s">
        <v>162</v>
      </c>
      <c r="I63" s="8">
        <f t="shared" si="2"/>
        <v>5</v>
      </c>
      <c r="J63">
        <f t="shared" si="1"/>
        <v>0</v>
      </c>
    </row>
    <row r="64" spans="1:10">
      <c r="A64">
        <v>63</v>
      </c>
      <c r="B64" s="4">
        <v>46199</v>
      </c>
      <c r="C64" s="7" t="s">
        <v>108</v>
      </c>
      <c r="D64" s="6" t="s">
        <v>145</v>
      </c>
      <c r="E64" s="5" t="s">
        <v>128</v>
      </c>
      <c r="F64">
        <v>0</v>
      </c>
      <c r="G64">
        <v>1</v>
      </c>
      <c r="H64" t="s">
        <v>162</v>
      </c>
      <c r="I64" s="8">
        <f t="shared" si="2"/>
        <v>-1</v>
      </c>
      <c r="J64">
        <f t="shared" si="1"/>
        <v>0</v>
      </c>
    </row>
    <row r="65" spans="1:10">
      <c r="A65">
        <v>64</v>
      </c>
      <c r="B65" s="4">
        <v>46199</v>
      </c>
      <c r="C65" s="7" t="s">
        <v>108</v>
      </c>
      <c r="D65" s="6" t="s">
        <v>157</v>
      </c>
      <c r="E65" s="6" t="s">
        <v>129</v>
      </c>
      <c r="F65">
        <v>0</v>
      </c>
      <c r="G65">
        <v>0</v>
      </c>
      <c r="H65" t="s">
        <v>162</v>
      </c>
      <c r="I65" s="8">
        <f t="shared" si="2"/>
        <v>0</v>
      </c>
      <c r="J65">
        <f t="shared" si="1"/>
        <v>0</v>
      </c>
    </row>
    <row r="66" spans="1:10">
      <c r="A66">
        <v>65</v>
      </c>
      <c r="B66" s="4">
        <v>46199</v>
      </c>
      <c r="C66" s="7" t="s">
        <v>108</v>
      </c>
      <c r="D66" s="6" t="s">
        <v>158</v>
      </c>
      <c r="E66" s="6" t="s">
        <v>130</v>
      </c>
      <c r="F66">
        <v>1</v>
      </c>
      <c r="G66">
        <v>1</v>
      </c>
      <c r="H66" t="s">
        <v>162</v>
      </c>
      <c r="I66" s="8">
        <f t="shared" si="2"/>
        <v>0</v>
      </c>
      <c r="J66">
        <f t="shared" si="1"/>
        <v>0</v>
      </c>
    </row>
    <row r="67" spans="1:10" ht="30">
      <c r="A67">
        <v>66</v>
      </c>
      <c r="B67" s="4">
        <v>46199</v>
      </c>
      <c r="C67" s="7" t="s">
        <v>108</v>
      </c>
      <c r="D67" s="6" t="s">
        <v>146</v>
      </c>
      <c r="E67" s="5" t="s">
        <v>127</v>
      </c>
      <c r="F67">
        <v>1</v>
      </c>
      <c r="G67">
        <v>5</v>
      </c>
      <c r="H67" t="s">
        <v>162</v>
      </c>
      <c r="I67" s="8">
        <f t="shared" si="2"/>
        <v>-4</v>
      </c>
      <c r="J67">
        <f t="shared" ref="J67:J105" si="3">IF(TRIM(C67)="Group stage",0,1)</f>
        <v>0</v>
      </c>
    </row>
    <row r="68" spans="1:10">
      <c r="A68">
        <v>67</v>
      </c>
      <c r="B68" s="4">
        <v>46200</v>
      </c>
      <c r="C68" s="7" t="s">
        <v>108</v>
      </c>
      <c r="D68" s="5" t="s">
        <v>159</v>
      </c>
      <c r="E68" s="6" t="s">
        <v>137</v>
      </c>
      <c r="F68">
        <v>2</v>
      </c>
      <c r="G68">
        <v>1</v>
      </c>
      <c r="H68" t="s">
        <v>162</v>
      </c>
      <c r="I68" s="8">
        <f t="shared" si="2"/>
        <v>1</v>
      </c>
      <c r="J68">
        <f t="shared" si="3"/>
        <v>0</v>
      </c>
    </row>
    <row r="69" spans="1:10">
      <c r="A69">
        <v>68</v>
      </c>
      <c r="B69" s="4">
        <v>46200</v>
      </c>
      <c r="C69" s="7" t="s">
        <v>108</v>
      </c>
      <c r="D69" s="6" t="s">
        <v>149</v>
      </c>
      <c r="E69" s="5" t="s">
        <v>136</v>
      </c>
      <c r="F69">
        <v>0</v>
      </c>
      <c r="G69">
        <v>2</v>
      </c>
      <c r="H69" t="s">
        <v>162</v>
      </c>
      <c r="I69" s="8">
        <f t="shared" si="2"/>
        <v>-2</v>
      </c>
      <c r="J69">
        <f t="shared" si="3"/>
        <v>0</v>
      </c>
    </row>
    <row r="70" spans="1:10">
      <c r="A70">
        <v>69</v>
      </c>
      <c r="B70" s="4">
        <v>46200</v>
      </c>
      <c r="C70" s="7" t="s">
        <v>108</v>
      </c>
      <c r="D70" s="5" t="s">
        <v>160</v>
      </c>
      <c r="E70" s="6" t="s">
        <v>138</v>
      </c>
      <c r="F70">
        <v>3</v>
      </c>
      <c r="G70">
        <v>1</v>
      </c>
      <c r="H70" t="s">
        <v>162</v>
      </c>
      <c r="I70" s="8">
        <f t="shared" si="2"/>
        <v>2</v>
      </c>
      <c r="J70">
        <f t="shared" si="3"/>
        <v>0</v>
      </c>
    </row>
    <row r="71" spans="1:10">
      <c r="A71">
        <v>70</v>
      </c>
      <c r="B71" s="4">
        <v>46200</v>
      </c>
      <c r="C71" s="7" t="s">
        <v>108</v>
      </c>
      <c r="D71" s="6" t="s">
        <v>150</v>
      </c>
      <c r="E71" s="6" t="s">
        <v>135</v>
      </c>
      <c r="F71">
        <v>0</v>
      </c>
      <c r="G71">
        <v>0</v>
      </c>
      <c r="H71" t="s">
        <v>162</v>
      </c>
      <c r="I71" s="8">
        <f>IF(OR(F71="",G71=""),"",F71-G71)</f>
        <v>0</v>
      </c>
      <c r="J71">
        <f t="shared" si="3"/>
        <v>0</v>
      </c>
    </row>
    <row r="72" spans="1:10">
      <c r="A72">
        <v>71</v>
      </c>
      <c r="B72" s="4">
        <v>46200</v>
      </c>
      <c r="C72" s="7" t="s">
        <v>108</v>
      </c>
      <c r="D72" s="6" t="s">
        <v>148</v>
      </c>
      <c r="E72" s="5" t="s">
        <v>133</v>
      </c>
      <c r="F72">
        <v>1</v>
      </c>
      <c r="G72">
        <v>3</v>
      </c>
      <c r="H72" t="s">
        <v>162</v>
      </c>
      <c r="I72" s="8">
        <f>IF(OR(F72="",G72=""),"",F72-G72)</f>
        <v>-2</v>
      </c>
      <c r="J72">
        <f t="shared" si="3"/>
        <v>0</v>
      </c>
    </row>
    <row r="73" spans="1:10">
      <c r="A73">
        <v>72</v>
      </c>
      <c r="B73" s="4">
        <v>46200</v>
      </c>
      <c r="C73" s="7" t="s">
        <v>108</v>
      </c>
      <c r="D73" s="6" t="s">
        <v>161</v>
      </c>
      <c r="E73" s="6" t="s">
        <v>134</v>
      </c>
      <c r="F73">
        <v>3</v>
      </c>
      <c r="G73">
        <v>3</v>
      </c>
      <c r="H73" t="s">
        <v>162</v>
      </c>
      <c r="I73" s="8">
        <f t="shared" ref="I73:I87" si="4">IF(OR(F73="",G73=""),"",F73-G73)</f>
        <v>0</v>
      </c>
      <c r="J73">
        <f t="shared" si="3"/>
        <v>0</v>
      </c>
    </row>
    <row r="74" spans="1:10">
      <c r="A74">
        <v>73</v>
      </c>
      <c r="B74" s="4">
        <v>46201</v>
      </c>
      <c r="C74" s="7" t="s">
        <v>109</v>
      </c>
      <c r="D74" s="6" t="s">
        <v>152</v>
      </c>
      <c r="E74" s="5" t="s">
        <v>117</v>
      </c>
      <c r="F74">
        <v>0</v>
      </c>
      <c r="G74">
        <v>1</v>
      </c>
      <c r="H74" t="s">
        <v>162</v>
      </c>
      <c r="I74" s="8">
        <f t="shared" si="4"/>
        <v>-1</v>
      </c>
      <c r="J74">
        <f t="shared" si="3"/>
        <v>1</v>
      </c>
    </row>
    <row r="75" spans="1:10">
      <c r="A75">
        <v>74</v>
      </c>
      <c r="B75" s="4">
        <v>46202</v>
      </c>
      <c r="C75" s="7" t="s">
        <v>109</v>
      </c>
      <c r="D75" s="5" t="s">
        <v>120</v>
      </c>
      <c r="E75" s="6" t="s">
        <v>154</v>
      </c>
      <c r="F75">
        <v>2</v>
      </c>
      <c r="G75">
        <v>1</v>
      </c>
      <c r="H75" t="s">
        <v>162</v>
      </c>
      <c r="I75" s="8">
        <f t="shared" si="4"/>
        <v>1</v>
      </c>
      <c r="J75">
        <f t="shared" si="3"/>
        <v>1</v>
      </c>
    </row>
    <row r="76" spans="1:10">
      <c r="A76">
        <v>75</v>
      </c>
      <c r="B76" s="4">
        <v>46202</v>
      </c>
      <c r="C76" s="7" t="s">
        <v>109</v>
      </c>
      <c r="D76" s="6" t="s">
        <v>123</v>
      </c>
      <c r="E76" s="6" t="s">
        <v>155</v>
      </c>
      <c r="F76">
        <v>1</v>
      </c>
      <c r="G76">
        <v>1</v>
      </c>
      <c r="H76" t="s">
        <v>163</v>
      </c>
      <c r="I76" s="8">
        <f t="shared" si="4"/>
        <v>0</v>
      </c>
      <c r="J76">
        <f t="shared" si="3"/>
        <v>1</v>
      </c>
    </row>
    <row r="77" spans="1:10">
      <c r="A77">
        <v>76</v>
      </c>
      <c r="B77" s="4">
        <v>46202</v>
      </c>
      <c r="C77" s="7" t="s">
        <v>109</v>
      </c>
      <c r="D77" s="6" t="s">
        <v>124</v>
      </c>
      <c r="E77" s="6" t="s">
        <v>151</v>
      </c>
      <c r="F77">
        <v>1</v>
      </c>
      <c r="G77">
        <v>1</v>
      </c>
      <c r="H77" t="s">
        <v>164</v>
      </c>
      <c r="I77" s="8">
        <f t="shared" si="4"/>
        <v>0</v>
      </c>
      <c r="J77">
        <f t="shared" si="3"/>
        <v>1</v>
      </c>
    </row>
    <row r="78" spans="1:10">
      <c r="A78">
        <v>77</v>
      </c>
      <c r="B78" s="4">
        <v>46203</v>
      </c>
      <c r="C78" s="7" t="s">
        <v>109</v>
      </c>
      <c r="D78" s="6" t="s">
        <v>125</v>
      </c>
      <c r="E78" s="5" t="s">
        <v>147</v>
      </c>
      <c r="F78">
        <v>1</v>
      </c>
      <c r="G78">
        <v>2</v>
      </c>
      <c r="H78" t="s">
        <v>162</v>
      </c>
      <c r="I78" s="8">
        <f t="shared" si="4"/>
        <v>-1</v>
      </c>
      <c r="J78">
        <f t="shared" si="3"/>
        <v>1</v>
      </c>
    </row>
    <row r="79" spans="1:10">
      <c r="A79">
        <v>78</v>
      </c>
      <c r="B79" s="4">
        <v>46203</v>
      </c>
      <c r="C79" s="7" t="s">
        <v>109</v>
      </c>
      <c r="D79" s="5" t="s">
        <v>131</v>
      </c>
      <c r="E79" s="6" t="s">
        <v>126</v>
      </c>
      <c r="F79">
        <v>3</v>
      </c>
      <c r="G79">
        <v>0</v>
      </c>
      <c r="H79" t="s">
        <v>162</v>
      </c>
      <c r="I79" s="8">
        <f t="shared" si="4"/>
        <v>3</v>
      </c>
      <c r="J79">
        <f t="shared" si="3"/>
        <v>1</v>
      </c>
    </row>
    <row r="80" spans="1:10">
      <c r="A80">
        <v>79</v>
      </c>
      <c r="B80" s="4">
        <v>46203</v>
      </c>
      <c r="C80" s="7" t="s">
        <v>109</v>
      </c>
      <c r="D80" s="5" t="s">
        <v>115</v>
      </c>
      <c r="E80" s="6" t="s">
        <v>143</v>
      </c>
      <c r="F80">
        <v>2</v>
      </c>
      <c r="G80">
        <v>0</v>
      </c>
      <c r="H80" t="s">
        <v>162</v>
      </c>
      <c r="I80" s="8">
        <f t="shared" si="4"/>
        <v>2</v>
      </c>
      <c r="J80">
        <f t="shared" si="3"/>
        <v>1</v>
      </c>
    </row>
    <row r="81" spans="1:10">
      <c r="A81">
        <v>80</v>
      </c>
      <c r="B81" s="4">
        <v>46204</v>
      </c>
      <c r="C81" s="7" t="s">
        <v>109</v>
      </c>
      <c r="D81" s="5" t="s">
        <v>136</v>
      </c>
      <c r="E81" s="6" t="s">
        <v>160</v>
      </c>
      <c r="F81">
        <v>2</v>
      </c>
      <c r="G81">
        <v>1</v>
      </c>
      <c r="H81" t="s">
        <v>162</v>
      </c>
      <c r="I81" s="8">
        <f t="shared" si="4"/>
        <v>1</v>
      </c>
      <c r="J81">
        <f t="shared" si="3"/>
        <v>1</v>
      </c>
    </row>
    <row r="82" spans="1:10">
      <c r="A82">
        <v>81</v>
      </c>
      <c r="B82" s="4">
        <v>46204</v>
      </c>
      <c r="C82" s="7" t="s">
        <v>109</v>
      </c>
      <c r="D82" s="5" t="s">
        <v>127</v>
      </c>
      <c r="E82" s="6" t="s">
        <v>156</v>
      </c>
      <c r="F82">
        <v>3</v>
      </c>
      <c r="G82">
        <v>2</v>
      </c>
      <c r="H82" t="s">
        <v>162</v>
      </c>
      <c r="I82" s="8">
        <f t="shared" si="4"/>
        <v>1</v>
      </c>
      <c r="J82">
        <f t="shared" si="3"/>
        <v>1</v>
      </c>
    </row>
    <row r="83" spans="1:10" ht="30">
      <c r="A83">
        <v>82</v>
      </c>
      <c r="B83" s="4">
        <v>46204</v>
      </c>
      <c r="C83" s="7" t="s">
        <v>109</v>
      </c>
      <c r="D83" s="5" t="s">
        <v>118</v>
      </c>
      <c r="E83" s="6" t="s">
        <v>349</v>
      </c>
      <c r="F83">
        <v>2</v>
      </c>
      <c r="G83">
        <v>0</v>
      </c>
      <c r="H83" t="s">
        <v>162</v>
      </c>
      <c r="I83" s="8">
        <f t="shared" si="4"/>
        <v>2</v>
      </c>
      <c r="J83">
        <f t="shared" si="3"/>
        <v>1</v>
      </c>
    </row>
    <row r="84" spans="1:10">
      <c r="A84">
        <v>83</v>
      </c>
      <c r="B84" s="4">
        <v>46205</v>
      </c>
      <c r="C84" s="7" t="s">
        <v>109</v>
      </c>
      <c r="D84" s="5" t="s">
        <v>128</v>
      </c>
      <c r="E84" s="6" t="s">
        <v>134</v>
      </c>
      <c r="F84">
        <v>3</v>
      </c>
      <c r="G84">
        <v>0</v>
      </c>
      <c r="H84" t="s">
        <v>162</v>
      </c>
      <c r="I84" s="8">
        <f t="shared" si="4"/>
        <v>3</v>
      </c>
      <c r="J84">
        <f t="shared" si="3"/>
        <v>1</v>
      </c>
    </row>
    <row r="85" spans="1:10">
      <c r="A85">
        <v>84</v>
      </c>
      <c r="B85" s="4">
        <v>46205</v>
      </c>
      <c r="C85" s="7" t="s">
        <v>109</v>
      </c>
      <c r="D85" s="5" t="s">
        <v>135</v>
      </c>
      <c r="E85" s="6" t="s">
        <v>159</v>
      </c>
      <c r="F85">
        <v>2</v>
      </c>
      <c r="G85">
        <v>1</v>
      </c>
      <c r="H85" t="s">
        <v>162</v>
      </c>
      <c r="I85" s="8">
        <f t="shared" si="4"/>
        <v>1</v>
      </c>
      <c r="J85">
        <f t="shared" si="3"/>
        <v>1</v>
      </c>
    </row>
    <row r="86" spans="1:10">
      <c r="A86">
        <v>85</v>
      </c>
      <c r="B86" s="4">
        <v>46205</v>
      </c>
      <c r="C86" s="7" t="s">
        <v>109</v>
      </c>
      <c r="D86" s="5" t="s">
        <v>140</v>
      </c>
      <c r="E86" s="6" t="s">
        <v>161</v>
      </c>
      <c r="F86">
        <v>2</v>
      </c>
      <c r="G86">
        <v>0</v>
      </c>
      <c r="H86" t="s">
        <v>162</v>
      </c>
      <c r="I86" s="8">
        <f t="shared" si="4"/>
        <v>2</v>
      </c>
      <c r="J86">
        <f t="shared" si="3"/>
        <v>1</v>
      </c>
    </row>
    <row r="87" spans="1:10">
      <c r="A87">
        <v>86</v>
      </c>
      <c r="B87" s="4">
        <v>46206</v>
      </c>
      <c r="C87" s="7" t="s">
        <v>109</v>
      </c>
      <c r="D87" s="6" t="s">
        <v>121</v>
      </c>
      <c r="E87" s="6" t="s">
        <v>158</v>
      </c>
      <c r="F87">
        <v>1</v>
      </c>
      <c r="G87">
        <v>1</v>
      </c>
      <c r="H87" t="s">
        <v>165</v>
      </c>
      <c r="I87" s="8">
        <f t="shared" si="4"/>
        <v>0</v>
      </c>
      <c r="J87">
        <f t="shared" si="3"/>
        <v>1</v>
      </c>
    </row>
    <row r="88" spans="1:10">
      <c r="A88">
        <v>87</v>
      </c>
      <c r="B88" s="4">
        <v>46206</v>
      </c>
      <c r="C88" s="7" t="s">
        <v>109</v>
      </c>
      <c r="D88" s="5" t="s">
        <v>133</v>
      </c>
      <c r="E88" s="6" t="s">
        <v>157</v>
      </c>
      <c r="F88">
        <v>3</v>
      </c>
      <c r="G88">
        <v>2</v>
      </c>
      <c r="H88" t="s">
        <v>162</v>
      </c>
      <c r="I88" s="8">
        <f>IF(OR(F88="",G88=""),"",F88-G88)</f>
        <v>1</v>
      </c>
      <c r="J88">
        <f t="shared" si="3"/>
        <v>1</v>
      </c>
    </row>
    <row r="89" spans="1:10">
      <c r="A89">
        <v>88</v>
      </c>
      <c r="B89" s="4">
        <v>46206</v>
      </c>
      <c r="C89" s="7" t="s">
        <v>109</v>
      </c>
      <c r="D89" s="5" t="s">
        <v>150</v>
      </c>
      <c r="E89" s="6" t="s">
        <v>137</v>
      </c>
      <c r="F89">
        <v>1</v>
      </c>
      <c r="G89">
        <v>0</v>
      </c>
      <c r="H89" t="s">
        <v>162</v>
      </c>
      <c r="I89" s="8">
        <f t="shared" ref="I89:I105" si="5">IF(OR(F89="",G89=""),"",F89-G89)</f>
        <v>1</v>
      </c>
      <c r="J89">
        <f t="shared" si="3"/>
        <v>1</v>
      </c>
    </row>
    <row r="90" spans="1:10">
      <c r="A90">
        <v>89</v>
      </c>
      <c r="B90" s="4">
        <v>46207</v>
      </c>
      <c r="C90" s="7" t="s">
        <v>110</v>
      </c>
      <c r="D90" s="6" t="s">
        <v>117</v>
      </c>
      <c r="E90" s="5" t="s">
        <v>151</v>
      </c>
      <c r="F90">
        <v>0</v>
      </c>
      <c r="G90">
        <v>3</v>
      </c>
      <c r="H90" t="s">
        <v>162</v>
      </c>
      <c r="I90" s="8">
        <f t="shared" si="5"/>
        <v>-3</v>
      </c>
      <c r="J90">
        <f t="shared" si="3"/>
        <v>1</v>
      </c>
    </row>
    <row r="91" spans="1:10">
      <c r="A91">
        <v>90</v>
      </c>
      <c r="B91" s="4">
        <v>46207</v>
      </c>
      <c r="C91" s="7" t="s">
        <v>110</v>
      </c>
      <c r="D91" s="6" t="s">
        <v>155</v>
      </c>
      <c r="E91" s="5" t="s">
        <v>131</v>
      </c>
      <c r="F91">
        <v>0</v>
      </c>
      <c r="G91">
        <v>1</v>
      </c>
      <c r="H91" t="s">
        <v>162</v>
      </c>
      <c r="I91" s="8">
        <f t="shared" si="5"/>
        <v>-1</v>
      </c>
      <c r="J91">
        <f t="shared" si="3"/>
        <v>1</v>
      </c>
    </row>
    <row r="92" spans="1:10">
      <c r="A92">
        <v>91</v>
      </c>
      <c r="B92" s="4">
        <v>46208</v>
      </c>
      <c r="C92" s="7" t="s">
        <v>110</v>
      </c>
      <c r="D92" s="6" t="s">
        <v>120</v>
      </c>
      <c r="E92" s="5" t="s">
        <v>147</v>
      </c>
      <c r="F92">
        <v>1</v>
      </c>
      <c r="G92">
        <v>2</v>
      </c>
      <c r="H92" t="s">
        <v>162</v>
      </c>
      <c r="I92" s="8">
        <f t="shared" si="5"/>
        <v>-1</v>
      </c>
      <c r="J92">
        <f t="shared" si="3"/>
        <v>1</v>
      </c>
    </row>
    <row r="93" spans="1:10">
      <c r="A93">
        <v>92</v>
      </c>
      <c r="B93" s="4">
        <v>46208</v>
      </c>
      <c r="C93" s="7" t="s">
        <v>110</v>
      </c>
      <c r="D93" s="6" t="s">
        <v>115</v>
      </c>
      <c r="E93" s="5" t="s">
        <v>136</v>
      </c>
      <c r="F93">
        <v>2</v>
      </c>
      <c r="G93">
        <v>3</v>
      </c>
      <c r="H93" t="s">
        <v>162</v>
      </c>
      <c r="I93" s="8">
        <f t="shared" si="5"/>
        <v>-1</v>
      </c>
      <c r="J93">
        <f t="shared" si="3"/>
        <v>1</v>
      </c>
    </row>
    <row r="94" spans="1:10">
      <c r="A94">
        <v>93</v>
      </c>
      <c r="B94" s="4">
        <v>46209</v>
      </c>
      <c r="C94" s="7" t="s">
        <v>110</v>
      </c>
      <c r="D94" s="6" t="s">
        <v>135</v>
      </c>
      <c r="E94" s="5" t="s">
        <v>128</v>
      </c>
      <c r="F94">
        <v>0</v>
      </c>
      <c r="G94">
        <v>1</v>
      </c>
      <c r="H94" t="s">
        <v>162</v>
      </c>
      <c r="I94" s="8">
        <f t="shared" si="5"/>
        <v>-1</v>
      </c>
      <c r="J94">
        <f t="shared" si="3"/>
        <v>1</v>
      </c>
    </row>
    <row r="95" spans="1:10">
      <c r="A95">
        <v>94</v>
      </c>
      <c r="B95" s="4">
        <v>46209</v>
      </c>
      <c r="C95" s="7" t="s">
        <v>110</v>
      </c>
      <c r="D95" s="6" t="s">
        <v>118</v>
      </c>
      <c r="E95" s="5" t="s">
        <v>127</v>
      </c>
      <c r="F95">
        <v>1</v>
      </c>
      <c r="G95">
        <v>4</v>
      </c>
      <c r="H95" t="s">
        <v>162</v>
      </c>
      <c r="I95" s="8">
        <f t="shared" si="5"/>
        <v>-3</v>
      </c>
      <c r="J95">
        <f t="shared" si="3"/>
        <v>1</v>
      </c>
    </row>
    <row r="96" spans="1:10">
      <c r="A96">
        <v>95</v>
      </c>
      <c r="B96" s="4">
        <v>46210</v>
      </c>
      <c r="C96" s="7" t="s">
        <v>110</v>
      </c>
      <c r="D96" s="5" t="s">
        <v>133</v>
      </c>
      <c r="E96" s="6" t="s">
        <v>158</v>
      </c>
      <c r="F96">
        <v>3</v>
      </c>
      <c r="G96">
        <v>2</v>
      </c>
      <c r="H96" t="s">
        <v>162</v>
      </c>
      <c r="I96" s="8">
        <f t="shared" si="5"/>
        <v>1</v>
      </c>
      <c r="J96">
        <f t="shared" si="3"/>
        <v>1</v>
      </c>
    </row>
    <row r="97" spans="1:10">
      <c r="A97">
        <v>96</v>
      </c>
      <c r="B97" s="4">
        <v>46210</v>
      </c>
      <c r="C97" s="7" t="s">
        <v>110</v>
      </c>
      <c r="D97" s="6" t="s">
        <v>140</v>
      </c>
      <c r="E97" s="6" t="s">
        <v>150</v>
      </c>
      <c r="F97">
        <v>0</v>
      </c>
      <c r="G97">
        <v>0</v>
      </c>
      <c r="H97" t="s">
        <v>166</v>
      </c>
      <c r="I97" s="8">
        <f t="shared" si="5"/>
        <v>0</v>
      </c>
      <c r="J97">
        <f t="shared" si="3"/>
        <v>1</v>
      </c>
    </row>
    <row r="98" spans="1:10">
      <c r="A98">
        <v>97</v>
      </c>
      <c r="B98" s="4">
        <v>46212</v>
      </c>
      <c r="C98" s="7" t="s">
        <v>111</v>
      </c>
      <c r="D98" s="5" t="s">
        <v>131</v>
      </c>
      <c r="E98" s="6" t="s">
        <v>151</v>
      </c>
      <c r="F98">
        <v>2</v>
      </c>
      <c r="G98">
        <v>0</v>
      </c>
      <c r="H98" t="s">
        <v>162</v>
      </c>
      <c r="I98" s="8">
        <f t="shared" si="5"/>
        <v>2</v>
      </c>
      <c r="J98">
        <f t="shared" si="3"/>
        <v>1</v>
      </c>
    </row>
    <row r="99" spans="1:10">
      <c r="A99">
        <v>98</v>
      </c>
      <c r="B99" s="4">
        <v>46213</v>
      </c>
      <c r="C99" s="7" t="s">
        <v>111</v>
      </c>
      <c r="D99" s="5" t="s">
        <v>128</v>
      </c>
      <c r="E99" s="6" t="s">
        <v>127</v>
      </c>
      <c r="F99">
        <v>2</v>
      </c>
      <c r="G99">
        <v>1</v>
      </c>
      <c r="H99" t="s">
        <v>162</v>
      </c>
      <c r="I99" s="8">
        <f t="shared" si="5"/>
        <v>1</v>
      </c>
      <c r="J99">
        <f t="shared" si="3"/>
        <v>1</v>
      </c>
    </row>
    <row r="100" spans="1:10">
      <c r="A100">
        <v>99</v>
      </c>
      <c r="B100" s="4">
        <v>46214</v>
      </c>
      <c r="C100" s="7" t="s">
        <v>111</v>
      </c>
      <c r="D100" s="6" t="s">
        <v>147</v>
      </c>
      <c r="E100" s="5" t="s">
        <v>136</v>
      </c>
      <c r="F100">
        <v>1</v>
      </c>
      <c r="G100">
        <v>2</v>
      </c>
      <c r="H100" t="s">
        <v>162</v>
      </c>
      <c r="I100" s="8">
        <f t="shared" si="5"/>
        <v>-1</v>
      </c>
      <c r="J100">
        <f t="shared" si="3"/>
        <v>1</v>
      </c>
    </row>
    <row r="101" spans="1:10">
      <c r="A101">
        <v>100</v>
      </c>
      <c r="B101" s="4">
        <v>46214</v>
      </c>
      <c r="C101" s="7" t="s">
        <v>111</v>
      </c>
      <c r="D101" s="5" t="s">
        <v>133</v>
      </c>
      <c r="E101" s="6" t="s">
        <v>140</v>
      </c>
      <c r="F101">
        <v>3</v>
      </c>
      <c r="G101">
        <v>1</v>
      </c>
      <c r="H101" t="s">
        <v>162</v>
      </c>
      <c r="I101" s="8">
        <f t="shared" si="5"/>
        <v>2</v>
      </c>
      <c r="J101">
        <f t="shared" si="3"/>
        <v>1</v>
      </c>
    </row>
    <row r="102" spans="1:10">
      <c r="A102">
        <v>101</v>
      </c>
      <c r="B102" s="4">
        <v>46217</v>
      </c>
      <c r="C102" s="7" t="s">
        <v>112</v>
      </c>
      <c r="D102" s="6" t="s">
        <v>131</v>
      </c>
      <c r="E102" s="5" t="s">
        <v>128</v>
      </c>
      <c r="F102">
        <v>0</v>
      </c>
      <c r="G102">
        <v>2</v>
      </c>
      <c r="H102" t="s">
        <v>162</v>
      </c>
      <c r="I102" s="8">
        <f t="shared" si="5"/>
        <v>-2</v>
      </c>
      <c r="J102">
        <f t="shared" si="3"/>
        <v>1</v>
      </c>
    </row>
    <row r="103" spans="1:10">
      <c r="A103">
        <v>102</v>
      </c>
      <c r="B103" s="4">
        <v>46218</v>
      </c>
      <c r="C103" s="7" t="s">
        <v>112</v>
      </c>
      <c r="D103" s="6" t="s">
        <v>136</v>
      </c>
      <c r="E103" s="5" t="s">
        <v>133</v>
      </c>
      <c r="F103">
        <v>1</v>
      </c>
      <c r="G103">
        <v>2</v>
      </c>
      <c r="H103" t="s">
        <v>162</v>
      </c>
      <c r="I103" s="8">
        <f t="shared" si="5"/>
        <v>-1</v>
      </c>
      <c r="J103">
        <f t="shared" si="3"/>
        <v>1</v>
      </c>
    </row>
    <row r="104" spans="1:10" ht="30">
      <c r="A104">
        <v>103</v>
      </c>
      <c r="B104" s="4">
        <v>46221</v>
      </c>
      <c r="C104" s="7" t="s">
        <v>113</v>
      </c>
      <c r="D104" s="6" t="s">
        <v>131</v>
      </c>
      <c r="E104" s="5" t="s">
        <v>136</v>
      </c>
      <c r="F104">
        <v>4</v>
      </c>
      <c r="G104">
        <v>6</v>
      </c>
      <c r="H104" t="s">
        <v>162</v>
      </c>
      <c r="I104" s="8">
        <f t="shared" si="5"/>
        <v>-2</v>
      </c>
      <c r="J104">
        <f t="shared" si="3"/>
        <v>1</v>
      </c>
    </row>
    <row r="105" spans="1:10">
      <c r="A105">
        <v>104</v>
      </c>
      <c r="B105" s="4">
        <v>46222</v>
      </c>
      <c r="C105" s="7" t="s">
        <v>114</v>
      </c>
      <c r="D105" s="5" t="s">
        <v>128</v>
      </c>
      <c r="E105" s="6" t="s">
        <v>133</v>
      </c>
      <c r="F105">
        <v>1</v>
      </c>
      <c r="G105">
        <v>0</v>
      </c>
      <c r="H105" t="s">
        <v>162</v>
      </c>
      <c r="I105" s="8">
        <f>IF(OR(F105="",G105=""),"",F105-G105)</f>
        <v>1</v>
      </c>
      <c r="J105">
        <f t="shared" si="3"/>
        <v>1</v>
      </c>
    </row>
    <row r="106" spans="1:10">
      <c r="E106" s="6"/>
    </row>
  </sheetData>
  <autoFilter ref="A1:J105" xr:uid="{6F485CE3-DC3A-6E4D-B20B-171911A7CE4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01859-4B36-2148-ABEB-4A9CF467426B}">
  <dimension ref="A1:C209"/>
  <sheetViews>
    <sheetView workbookViewId="0">
      <pane ySplit="1" topLeftCell="A2" activePane="bottomLeft" state="frozen"/>
      <selection pane="bottomLeft" activeCell="D4" sqref="D4"/>
    </sheetView>
  </sheetViews>
  <sheetFormatPr baseColWidth="10" defaultRowHeight="16"/>
  <cols>
    <col min="2" max="2" width="15.1640625" customWidth="1"/>
    <col min="3" max="3" width="10.83203125" style="11"/>
  </cols>
  <sheetData>
    <row r="1" spans="1:3">
      <c r="A1" t="s">
        <v>0</v>
      </c>
      <c r="B1" t="s">
        <v>314</v>
      </c>
      <c r="C1" s="11" t="s">
        <v>315</v>
      </c>
    </row>
    <row r="2" spans="1:3">
      <c r="A2">
        <f>INT((ROW()-2)/2)+1</f>
        <v>1</v>
      </c>
      <c r="B2" t="str">
        <f>IF(ISEVEN(ROW()),INDEX(Matches!$D$2:$D$105,MATCH(A2,Matches!$A$2:$A$105,0)),INDEX(Matches!$E$2:$E$105,MATCH(A2,Matches!$A$2:$A$105,0)))</f>
        <v>Mexico</v>
      </c>
      <c r="C2" s="11">
        <v>1.46</v>
      </c>
    </row>
    <row r="3" spans="1:3">
      <c r="A3">
        <f t="shared" ref="A3:A66" si="0">INT((ROW()-2)/2)+1</f>
        <v>1</v>
      </c>
      <c r="B3" t="str">
        <f>IF(ISEVEN(ROW()),INDEX(Matches!$D$2:$D$105,MATCH(A3,Matches!$A$2:$A$105,0)),INDEX(Matches!$E$2:$E$105,MATCH(A3,Matches!$A$2:$A$105,0)))</f>
        <v>South Africa</v>
      </c>
      <c r="C3" s="11">
        <v>7.0000000000000007E-2</v>
      </c>
    </row>
    <row r="4" spans="1:3">
      <c r="A4">
        <f t="shared" si="0"/>
        <v>2</v>
      </c>
      <c r="B4" t="str">
        <f>IF(ISEVEN(ROW()),INDEX(Matches!$D$2:$D$105,MATCH(A4,Matches!$A$2:$A$105,0)),INDEX(Matches!$E$2:$E$105,MATCH(A4,Matches!$A$2:$A$105,0)))</f>
        <v>Korea Republic</v>
      </c>
      <c r="C4" s="11">
        <v>2.2999999999999998</v>
      </c>
    </row>
    <row r="5" spans="1:3">
      <c r="A5">
        <f t="shared" si="0"/>
        <v>2</v>
      </c>
      <c r="B5" t="str">
        <f>IF(ISEVEN(ROW()),INDEX(Matches!$D$2:$D$105,MATCH(A5,Matches!$A$2:$A$105,0)),INDEX(Matches!$E$2:$E$105,MATCH(A5,Matches!$A$2:$A$105,0)))</f>
        <v>Czechia</v>
      </c>
      <c r="C5" s="11">
        <v>0.83</v>
      </c>
    </row>
    <row r="6" spans="1:3">
      <c r="A6">
        <f t="shared" si="0"/>
        <v>3</v>
      </c>
      <c r="B6" t="str">
        <f>IF(ISEVEN(ROW()),INDEX(Matches!$D$2:$D$105,MATCH(A6,Matches!$A$2:$A$105,0)),INDEX(Matches!$E$2:$E$105,MATCH(A6,Matches!$A$2:$A$105,0)))</f>
        <v>Canada</v>
      </c>
      <c r="C6" s="11">
        <v>1.25</v>
      </c>
    </row>
    <row r="7" spans="1:3">
      <c r="A7">
        <f t="shared" si="0"/>
        <v>3</v>
      </c>
      <c r="B7" t="str">
        <f>IF(ISEVEN(ROW()),INDEX(Matches!$D$2:$D$105,MATCH(A7,Matches!$A$2:$A$105,0)),INDEX(Matches!$E$2:$E$105,MATCH(A7,Matches!$A$2:$A$105,0)))</f>
        <v>Bosnia and Herzegovina</v>
      </c>
      <c r="C7" s="11">
        <v>0.98</v>
      </c>
    </row>
    <row r="8" spans="1:3">
      <c r="A8">
        <f t="shared" si="0"/>
        <v>4</v>
      </c>
      <c r="B8" t="str">
        <f>IF(ISEVEN(ROW()),INDEX(Matches!$D$2:$D$105,MATCH(A8,Matches!$A$2:$A$105,0)),INDEX(Matches!$E$2:$E$105,MATCH(A8,Matches!$A$2:$A$105,0)))</f>
        <v>USA</v>
      </c>
      <c r="C8" s="11">
        <v>1.42</v>
      </c>
    </row>
    <row r="9" spans="1:3">
      <c r="A9">
        <f t="shared" si="0"/>
        <v>4</v>
      </c>
      <c r="B9" t="str">
        <f>IF(ISEVEN(ROW()),INDEX(Matches!$D$2:$D$105,MATCH(A9,Matches!$A$2:$A$105,0)),INDEX(Matches!$E$2:$E$105,MATCH(A9,Matches!$A$2:$A$105,0)))</f>
        <v>Paraguay</v>
      </c>
      <c r="C9" s="11">
        <v>0.54</v>
      </c>
    </row>
    <row r="10" spans="1:3">
      <c r="A10">
        <f t="shared" si="0"/>
        <v>5</v>
      </c>
      <c r="B10" t="str">
        <f>IF(ISEVEN(ROW()),INDEX(Matches!$D$2:$D$105,MATCH(A10,Matches!$A$2:$A$105,0)),INDEX(Matches!$E$2:$E$105,MATCH(A10,Matches!$A$2:$A$105,0)))</f>
        <v>Qatar</v>
      </c>
      <c r="C10" s="11">
        <v>0.6</v>
      </c>
    </row>
    <row r="11" spans="1:3">
      <c r="A11">
        <f t="shared" si="0"/>
        <v>5</v>
      </c>
      <c r="B11" t="str">
        <f>IF(ISEVEN(ROW()),INDEX(Matches!$D$2:$D$105,MATCH(A11,Matches!$A$2:$A$105,0)),INDEX(Matches!$E$2:$E$105,MATCH(A11,Matches!$A$2:$A$105,0)))</f>
        <v>Switzerland</v>
      </c>
      <c r="C11" s="11">
        <v>3.2</v>
      </c>
    </row>
    <row r="12" spans="1:3">
      <c r="A12">
        <f t="shared" si="0"/>
        <v>6</v>
      </c>
      <c r="B12" t="str">
        <f>IF(ISEVEN(ROW()),INDEX(Matches!$D$2:$D$105,MATCH(A12,Matches!$A$2:$A$105,0)),INDEX(Matches!$E$2:$E$105,MATCH(A12,Matches!$A$2:$A$105,0)))</f>
        <v>Brazil</v>
      </c>
      <c r="C12" s="11">
        <v>1.26</v>
      </c>
    </row>
    <row r="13" spans="1:3">
      <c r="A13">
        <f t="shared" si="0"/>
        <v>6</v>
      </c>
      <c r="B13" t="str">
        <f>IF(ISEVEN(ROW()),INDEX(Matches!$D$2:$D$105,MATCH(A13,Matches!$A$2:$A$105,0)),INDEX(Matches!$E$2:$E$105,MATCH(A13,Matches!$A$2:$A$105,0)))</f>
        <v>Morocco</v>
      </c>
      <c r="C13" s="11">
        <v>1.37</v>
      </c>
    </row>
    <row r="14" spans="1:3">
      <c r="A14">
        <f t="shared" si="0"/>
        <v>7</v>
      </c>
      <c r="B14" t="str">
        <f>IF(ISEVEN(ROW()),INDEX(Matches!$D$2:$D$105,MATCH(A14,Matches!$A$2:$A$105,0)),INDEX(Matches!$E$2:$E$105,MATCH(A14,Matches!$A$2:$A$105,0)))</f>
        <v>Australia</v>
      </c>
      <c r="C14" s="11">
        <v>1.18</v>
      </c>
    </row>
    <row r="15" spans="1:3">
      <c r="A15">
        <f t="shared" si="0"/>
        <v>7</v>
      </c>
      <c r="B15" t="str">
        <f>IF(ISEVEN(ROW()),INDEX(Matches!$D$2:$D$105,MATCH(A15,Matches!$A$2:$A$105,0)),INDEX(Matches!$E$2:$E$105,MATCH(A15,Matches!$A$2:$A$105,0)))</f>
        <v>Türkiye</v>
      </c>
      <c r="C15" s="11">
        <v>1.36</v>
      </c>
    </row>
    <row r="16" spans="1:3">
      <c r="A16">
        <f t="shared" si="0"/>
        <v>8</v>
      </c>
      <c r="B16" t="str">
        <f>IF(ISEVEN(ROW()),INDEX(Matches!$D$2:$D$105,MATCH(A16,Matches!$A$2:$A$105,0)),INDEX(Matches!$E$2:$E$105,MATCH(A16,Matches!$A$2:$A$105,0)))</f>
        <v>Haiti</v>
      </c>
      <c r="C16" s="11">
        <v>1.05</v>
      </c>
    </row>
    <row r="17" spans="1:3">
      <c r="A17">
        <f t="shared" si="0"/>
        <v>8</v>
      </c>
      <c r="B17" t="str">
        <f>IF(ISEVEN(ROW()),INDEX(Matches!$D$2:$D$105,MATCH(A17,Matches!$A$2:$A$105,0)),INDEX(Matches!$E$2:$E$105,MATCH(A17,Matches!$A$2:$A$105,0)))</f>
        <v>Scotland</v>
      </c>
      <c r="C17" s="11">
        <v>1.05</v>
      </c>
    </row>
    <row r="18" spans="1:3">
      <c r="A18">
        <f t="shared" si="0"/>
        <v>9</v>
      </c>
      <c r="B18" t="str">
        <f>IF(ISEVEN(ROW()),INDEX(Matches!$D$2:$D$105,MATCH(A18,Matches!$A$2:$A$105,0)),INDEX(Matches!$E$2:$E$105,MATCH(A18,Matches!$A$2:$A$105,0)))</f>
        <v>Germany</v>
      </c>
      <c r="C18" s="11">
        <v>4.22</v>
      </c>
    </row>
    <row r="19" spans="1:3">
      <c r="A19">
        <f t="shared" si="0"/>
        <v>9</v>
      </c>
      <c r="B19" t="str">
        <f>IF(ISEVEN(ROW()),INDEX(Matches!$D$2:$D$105,MATCH(A19,Matches!$A$2:$A$105,0)),INDEX(Matches!$E$2:$E$105,MATCH(A19,Matches!$A$2:$A$105,0)))</f>
        <v>Curaçao</v>
      </c>
      <c r="C19" s="11">
        <v>0.41</v>
      </c>
    </row>
    <row r="20" spans="1:3">
      <c r="A20">
        <f t="shared" si="0"/>
        <v>10</v>
      </c>
      <c r="B20" t="str">
        <f>IF(ISEVEN(ROW()),INDEX(Matches!$D$2:$D$105,MATCH(A20,Matches!$A$2:$A$105,0)),INDEX(Matches!$E$2:$E$105,MATCH(A20,Matches!$A$2:$A$105,0)))</f>
        <v>Netherlands</v>
      </c>
      <c r="C20" s="11">
        <v>0.78</v>
      </c>
    </row>
    <row r="21" spans="1:3">
      <c r="A21">
        <f t="shared" si="0"/>
        <v>10</v>
      </c>
      <c r="B21" t="str">
        <f>IF(ISEVEN(ROW()),INDEX(Matches!$D$2:$D$105,MATCH(A21,Matches!$A$2:$A$105,0)),INDEX(Matches!$E$2:$E$105,MATCH(A21,Matches!$A$2:$A$105,0)))</f>
        <v>Japan</v>
      </c>
      <c r="C21" s="11">
        <v>0.59</v>
      </c>
    </row>
    <row r="22" spans="1:3">
      <c r="A22">
        <f t="shared" si="0"/>
        <v>11</v>
      </c>
      <c r="B22" t="str">
        <f>IF(ISEVEN(ROW()),INDEX(Matches!$D$2:$D$105,MATCH(A22,Matches!$A$2:$A$105,0)),INDEX(Matches!$E$2:$E$105,MATCH(A22,Matches!$A$2:$A$105,0)))</f>
        <v>Côte d'Ivoire</v>
      </c>
      <c r="C22" s="11">
        <v>1.52</v>
      </c>
    </row>
    <row r="23" spans="1:3">
      <c r="A23">
        <f t="shared" si="0"/>
        <v>11</v>
      </c>
      <c r="B23" t="str">
        <f>IF(ISEVEN(ROW()),INDEX(Matches!$D$2:$D$105,MATCH(A23,Matches!$A$2:$A$105,0)),INDEX(Matches!$E$2:$E$105,MATCH(A23,Matches!$A$2:$A$105,0)))</f>
        <v>Ecuador</v>
      </c>
      <c r="C23" s="11">
        <v>1.01</v>
      </c>
    </row>
    <row r="24" spans="1:3">
      <c r="A24">
        <f t="shared" si="0"/>
        <v>12</v>
      </c>
      <c r="B24" t="str">
        <f>IF(ISEVEN(ROW()),INDEX(Matches!$D$2:$D$105,MATCH(A24,Matches!$A$2:$A$105,0)),INDEX(Matches!$E$2:$E$105,MATCH(A24,Matches!$A$2:$A$105,0)))</f>
        <v>Sweden</v>
      </c>
      <c r="C24" s="11">
        <v>1.33</v>
      </c>
    </row>
    <row r="25" spans="1:3">
      <c r="A25">
        <f t="shared" si="0"/>
        <v>12</v>
      </c>
      <c r="B25" t="str">
        <f>IF(ISEVEN(ROW()),INDEX(Matches!$D$2:$D$105,MATCH(A25,Matches!$A$2:$A$105,0)),INDEX(Matches!$E$2:$E$105,MATCH(A25,Matches!$A$2:$A$105,0)))</f>
        <v>Tunisia</v>
      </c>
      <c r="C25" s="11">
        <v>0.28000000000000003</v>
      </c>
    </row>
    <row r="26" spans="1:3">
      <c r="A26">
        <f t="shared" si="0"/>
        <v>13</v>
      </c>
      <c r="B26" t="str">
        <f>IF(ISEVEN(ROW()),INDEX(Matches!$D$2:$D$105,MATCH(A26,Matches!$A$2:$A$105,0)),INDEX(Matches!$E$2:$E$105,MATCH(A26,Matches!$A$2:$A$105,0)))</f>
        <v>Belgium</v>
      </c>
      <c r="C26" s="11">
        <v>1.35</v>
      </c>
    </row>
    <row r="27" spans="1:3">
      <c r="A27">
        <f t="shared" si="0"/>
        <v>13</v>
      </c>
      <c r="B27" t="str">
        <f>IF(ISEVEN(ROW()),INDEX(Matches!$D$2:$D$105,MATCH(A27,Matches!$A$2:$A$105,0)),INDEX(Matches!$E$2:$E$105,MATCH(A27,Matches!$A$2:$A$105,0)))</f>
        <v>Egypt</v>
      </c>
      <c r="C27" s="11">
        <v>1.08</v>
      </c>
    </row>
    <row r="28" spans="1:3">
      <c r="A28">
        <f t="shared" si="0"/>
        <v>14</v>
      </c>
      <c r="B28" t="str">
        <f>IF(ISEVEN(ROW()),INDEX(Matches!$D$2:$D$105,MATCH(A28,Matches!$A$2:$A$105,0)),INDEX(Matches!$E$2:$E$105,MATCH(A28,Matches!$A$2:$A$105,0)))</f>
        <v>Spain</v>
      </c>
      <c r="C28" s="11">
        <v>2.1</v>
      </c>
    </row>
    <row r="29" spans="1:3">
      <c r="A29">
        <f t="shared" si="0"/>
        <v>14</v>
      </c>
      <c r="B29" t="str">
        <f>IF(ISEVEN(ROW()),INDEX(Matches!$D$2:$D$105,MATCH(A29,Matches!$A$2:$A$105,0)),INDEX(Matches!$E$2:$E$105,MATCH(A29,Matches!$A$2:$A$105,0)))</f>
        <v>Cabo Verde</v>
      </c>
      <c r="C29" s="11">
        <v>0.2</v>
      </c>
    </row>
    <row r="30" spans="1:3">
      <c r="A30">
        <f t="shared" si="0"/>
        <v>15</v>
      </c>
      <c r="B30" t="str">
        <f>IF(ISEVEN(ROW()),INDEX(Matches!$D$2:$D$105,MATCH(A30,Matches!$A$2:$A$105,0)),INDEX(Matches!$E$2:$E$105,MATCH(A30,Matches!$A$2:$A$105,0)))</f>
        <v>Saudi Arabia</v>
      </c>
      <c r="C30" s="11">
        <v>0.66</v>
      </c>
    </row>
    <row r="31" spans="1:3">
      <c r="A31">
        <f t="shared" si="0"/>
        <v>15</v>
      </c>
      <c r="B31" t="str">
        <f>IF(ISEVEN(ROW()),INDEX(Matches!$D$2:$D$105,MATCH(A31,Matches!$A$2:$A$105,0)),INDEX(Matches!$E$2:$E$105,MATCH(A31,Matches!$A$2:$A$105,0)))</f>
        <v>Uruguay</v>
      </c>
      <c r="C31" s="11">
        <v>1.72</v>
      </c>
    </row>
    <row r="32" spans="1:3">
      <c r="A32">
        <f t="shared" si="0"/>
        <v>16</v>
      </c>
      <c r="B32" t="str">
        <f>IF(ISEVEN(ROW()),INDEX(Matches!$D$2:$D$105,MATCH(A32,Matches!$A$2:$A$105,0)),INDEX(Matches!$E$2:$E$105,MATCH(A32,Matches!$A$2:$A$105,0)))</f>
        <v>IR Iran</v>
      </c>
      <c r="C32" s="11">
        <v>1.5</v>
      </c>
    </row>
    <row r="33" spans="1:3">
      <c r="A33">
        <f t="shared" si="0"/>
        <v>16</v>
      </c>
      <c r="B33" t="str">
        <f>IF(ISEVEN(ROW()),INDEX(Matches!$D$2:$D$105,MATCH(A33,Matches!$A$2:$A$105,0)),INDEX(Matches!$E$2:$E$105,MATCH(A33,Matches!$A$2:$A$105,0)))</f>
        <v>New Zealand</v>
      </c>
      <c r="C33" s="11">
        <v>1.24</v>
      </c>
    </row>
    <row r="34" spans="1:3">
      <c r="A34">
        <f t="shared" si="0"/>
        <v>17</v>
      </c>
      <c r="B34" t="str">
        <f>IF(ISEVEN(ROW()),INDEX(Matches!$D$2:$D$105,MATCH(A34,Matches!$A$2:$A$105,0)),INDEX(Matches!$E$2:$E$105,MATCH(A34,Matches!$A$2:$A$105,0)))</f>
        <v>France</v>
      </c>
      <c r="C34" s="11">
        <v>1.79</v>
      </c>
    </row>
    <row r="35" spans="1:3">
      <c r="A35">
        <f t="shared" si="0"/>
        <v>17</v>
      </c>
      <c r="B35" t="str">
        <f>IF(ISEVEN(ROW()),INDEX(Matches!$D$2:$D$105,MATCH(A35,Matches!$A$2:$A$105,0)),INDEX(Matches!$E$2:$E$105,MATCH(A35,Matches!$A$2:$A$105,0)))</f>
        <v>Senegal</v>
      </c>
      <c r="C35" s="11">
        <v>0.53</v>
      </c>
    </row>
    <row r="36" spans="1:3">
      <c r="A36">
        <f t="shared" si="0"/>
        <v>18</v>
      </c>
      <c r="B36" t="str">
        <f>IF(ISEVEN(ROW()),INDEX(Matches!$D$2:$D$105,MATCH(A36,Matches!$A$2:$A$105,0)),INDEX(Matches!$E$2:$E$105,MATCH(A36,Matches!$A$2:$A$105,0)))</f>
        <v>Iraq</v>
      </c>
      <c r="C36" s="11">
        <v>0.8</v>
      </c>
    </row>
    <row r="37" spans="1:3">
      <c r="A37">
        <f t="shared" si="0"/>
        <v>18</v>
      </c>
      <c r="B37" t="str">
        <f>IF(ISEVEN(ROW()),INDEX(Matches!$D$2:$D$105,MATCH(A37,Matches!$A$2:$A$105,0)),INDEX(Matches!$E$2:$E$105,MATCH(A37,Matches!$A$2:$A$105,0)))</f>
        <v>Norway</v>
      </c>
      <c r="C37" s="11">
        <v>2.52</v>
      </c>
    </row>
    <row r="38" spans="1:3">
      <c r="A38">
        <f t="shared" si="0"/>
        <v>19</v>
      </c>
      <c r="B38" t="str">
        <f>IF(ISEVEN(ROW()),INDEX(Matches!$D$2:$D$105,MATCH(A38,Matches!$A$2:$A$105,0)),INDEX(Matches!$E$2:$E$105,MATCH(A38,Matches!$A$2:$A$105,0)))</f>
        <v>Argentina</v>
      </c>
      <c r="C38" s="11">
        <v>1.26</v>
      </c>
    </row>
    <row r="39" spans="1:3">
      <c r="A39">
        <f t="shared" si="0"/>
        <v>19</v>
      </c>
      <c r="B39" t="str">
        <f>IF(ISEVEN(ROW()),INDEX(Matches!$D$2:$D$105,MATCH(A39,Matches!$A$2:$A$105,0)),INDEX(Matches!$E$2:$E$105,MATCH(A39,Matches!$A$2:$A$105,0)))</f>
        <v>Algeria</v>
      </c>
      <c r="C39" s="11">
        <v>0.32</v>
      </c>
    </row>
    <row r="40" spans="1:3">
      <c r="A40">
        <f t="shared" si="0"/>
        <v>20</v>
      </c>
      <c r="B40" t="str">
        <f>IF(ISEVEN(ROW()),INDEX(Matches!$D$2:$D$105,MATCH(A40,Matches!$A$2:$A$105,0)),INDEX(Matches!$E$2:$E$105,MATCH(A40,Matches!$A$2:$A$105,0)))</f>
        <v>Austria</v>
      </c>
      <c r="C40" s="11">
        <v>1.66</v>
      </c>
    </row>
    <row r="41" spans="1:3">
      <c r="A41">
        <f t="shared" si="0"/>
        <v>20</v>
      </c>
      <c r="B41" t="str">
        <f>IF(ISEVEN(ROW()),INDEX(Matches!$D$2:$D$105,MATCH(A41,Matches!$A$2:$A$105,0)),INDEX(Matches!$E$2:$E$105,MATCH(A41,Matches!$A$2:$A$105,0)))</f>
        <v>Jordan</v>
      </c>
      <c r="C41" s="11">
        <v>0.53</v>
      </c>
    </row>
    <row r="42" spans="1:3">
      <c r="A42">
        <f t="shared" si="0"/>
        <v>21</v>
      </c>
      <c r="B42" t="str">
        <f>IF(ISEVEN(ROW()),INDEX(Matches!$D$2:$D$105,MATCH(A42,Matches!$A$2:$A$105,0)),INDEX(Matches!$E$2:$E$105,MATCH(A42,Matches!$A$2:$A$105,0)))</f>
        <v>Portugal</v>
      </c>
      <c r="C42" s="11">
        <v>0.65</v>
      </c>
    </row>
    <row r="43" spans="1:3">
      <c r="A43">
        <f t="shared" si="0"/>
        <v>21</v>
      </c>
      <c r="B43" t="str">
        <f>IF(ISEVEN(ROW()),INDEX(Matches!$D$2:$D$105,MATCH(A43,Matches!$A$2:$A$105,0)),INDEX(Matches!$E$2:$E$105,MATCH(A43,Matches!$A$2:$A$105,0)))</f>
        <v>Congo DR</v>
      </c>
      <c r="C43" s="11">
        <v>0.87</v>
      </c>
    </row>
    <row r="44" spans="1:3">
      <c r="A44">
        <f t="shared" si="0"/>
        <v>22</v>
      </c>
      <c r="B44" t="str">
        <f>IF(ISEVEN(ROW()),INDEX(Matches!$D$2:$D$105,MATCH(A44,Matches!$A$2:$A$105,0)),INDEX(Matches!$E$2:$E$105,MATCH(A44,Matches!$A$2:$A$105,0)))</f>
        <v>England</v>
      </c>
      <c r="C44" s="11">
        <v>3.2</v>
      </c>
    </row>
    <row r="45" spans="1:3">
      <c r="A45">
        <f t="shared" si="0"/>
        <v>22</v>
      </c>
      <c r="B45" t="str">
        <f>IF(ISEVEN(ROW()),INDEX(Matches!$D$2:$D$105,MATCH(A45,Matches!$A$2:$A$105,0)),INDEX(Matches!$E$2:$E$105,MATCH(A45,Matches!$A$2:$A$105,0)))</f>
        <v>Croatia</v>
      </c>
      <c r="C45" s="11">
        <v>0.7</v>
      </c>
    </row>
    <row r="46" spans="1:3">
      <c r="A46">
        <f t="shared" si="0"/>
        <v>23</v>
      </c>
      <c r="B46" t="str">
        <f>IF(ISEVEN(ROW()),INDEX(Matches!$D$2:$D$105,MATCH(A46,Matches!$A$2:$A$105,0)),INDEX(Matches!$E$2:$E$105,MATCH(A46,Matches!$A$2:$A$105,0)))</f>
        <v>Ghana</v>
      </c>
      <c r="C46" s="11">
        <v>1.31</v>
      </c>
    </row>
    <row r="47" spans="1:3">
      <c r="A47">
        <f t="shared" si="0"/>
        <v>23</v>
      </c>
      <c r="B47" t="str">
        <f>IF(ISEVEN(ROW()),INDEX(Matches!$D$2:$D$105,MATCH(A47,Matches!$A$2:$A$105,0)),INDEX(Matches!$E$2:$E$105,MATCH(A47,Matches!$A$2:$A$105,0)))</f>
        <v>Panama</v>
      </c>
      <c r="C47" s="11">
        <v>0.73</v>
      </c>
    </row>
    <row r="48" spans="1:3">
      <c r="A48">
        <f t="shared" si="0"/>
        <v>24</v>
      </c>
      <c r="B48" t="str">
        <f>IF(ISEVEN(ROW()),INDEX(Matches!$D$2:$D$105,MATCH(A48,Matches!$A$2:$A$105,0)),INDEX(Matches!$E$2:$E$105,MATCH(A48,Matches!$A$2:$A$105,0)))</f>
        <v>Uzbekistan</v>
      </c>
      <c r="C48" s="11">
        <v>1.1599999999999999</v>
      </c>
    </row>
    <row r="49" spans="1:3">
      <c r="A49">
        <f t="shared" si="0"/>
        <v>24</v>
      </c>
      <c r="B49" t="str">
        <f>IF(ISEVEN(ROW()),INDEX(Matches!$D$2:$D$105,MATCH(A49,Matches!$A$2:$A$105,0)),INDEX(Matches!$E$2:$E$105,MATCH(A49,Matches!$A$2:$A$105,0)))</f>
        <v>Colombia</v>
      </c>
      <c r="C49" s="11">
        <v>1.61</v>
      </c>
    </row>
    <row r="50" spans="1:3">
      <c r="A50">
        <f t="shared" si="0"/>
        <v>25</v>
      </c>
      <c r="B50" t="str">
        <f>IF(ISEVEN(ROW()),INDEX(Matches!$D$2:$D$105,MATCH(A50,Matches!$A$2:$A$105,0)),INDEX(Matches!$E$2:$E$105,MATCH(A50,Matches!$A$2:$A$105,0)))</f>
        <v>Czechia</v>
      </c>
      <c r="C50" s="11">
        <v>1.02</v>
      </c>
    </row>
    <row r="51" spans="1:3">
      <c r="A51">
        <f t="shared" si="0"/>
        <v>25</v>
      </c>
      <c r="B51" t="str">
        <f>IF(ISEVEN(ROW()),INDEX(Matches!$D$2:$D$105,MATCH(A51,Matches!$A$2:$A$105,0)),INDEX(Matches!$E$2:$E$105,MATCH(A51,Matches!$A$2:$A$105,0)))</f>
        <v>South Africa</v>
      </c>
      <c r="C51" s="11">
        <v>1.38</v>
      </c>
    </row>
    <row r="52" spans="1:3">
      <c r="A52">
        <f t="shared" si="0"/>
        <v>26</v>
      </c>
      <c r="B52" t="str">
        <f>IF(ISEVEN(ROW()),INDEX(Matches!$D$2:$D$105,MATCH(A52,Matches!$A$2:$A$105,0)),INDEX(Matches!$E$2:$E$105,MATCH(A52,Matches!$A$2:$A$105,0)))</f>
        <v>Switzerland</v>
      </c>
      <c r="C52" s="11">
        <v>2.06</v>
      </c>
    </row>
    <row r="53" spans="1:3">
      <c r="A53">
        <f t="shared" si="0"/>
        <v>26</v>
      </c>
      <c r="B53" t="str">
        <f>IF(ISEVEN(ROW()),INDEX(Matches!$D$2:$D$105,MATCH(A53,Matches!$A$2:$A$105,0)),INDEX(Matches!$E$2:$E$105,MATCH(A53,Matches!$A$2:$A$105,0)))</f>
        <v>Bosnia and Herzegovina</v>
      </c>
      <c r="C53" s="11">
        <v>0.23</v>
      </c>
    </row>
    <row r="54" spans="1:3">
      <c r="A54">
        <f t="shared" si="0"/>
        <v>27</v>
      </c>
      <c r="B54" t="str">
        <f>IF(ISEVEN(ROW()),INDEX(Matches!$D$2:$D$105,MATCH(A54,Matches!$A$2:$A$105,0)),INDEX(Matches!$E$2:$E$105,MATCH(A54,Matches!$A$2:$A$105,0)))</f>
        <v>Canada</v>
      </c>
      <c r="C54" s="11">
        <v>4.5999999999999996</v>
      </c>
    </row>
    <row r="55" spans="1:3">
      <c r="A55">
        <f t="shared" si="0"/>
        <v>27</v>
      </c>
      <c r="B55" t="str">
        <f>IF(ISEVEN(ROW()),INDEX(Matches!$D$2:$D$105,MATCH(A55,Matches!$A$2:$A$105,0)),INDEX(Matches!$E$2:$E$105,MATCH(A55,Matches!$A$2:$A$105,0)))</f>
        <v>Qatar</v>
      </c>
      <c r="C55" s="11">
        <v>0.22</v>
      </c>
    </row>
    <row r="56" spans="1:3">
      <c r="A56">
        <f t="shared" si="0"/>
        <v>28</v>
      </c>
      <c r="B56" t="str">
        <f>IF(ISEVEN(ROW()),INDEX(Matches!$D$2:$D$105,MATCH(A56,Matches!$A$2:$A$105,0)),INDEX(Matches!$E$2:$E$105,MATCH(A56,Matches!$A$2:$A$105,0)))</f>
        <v>Mexico</v>
      </c>
      <c r="C56" s="11">
        <v>0.53</v>
      </c>
    </row>
    <row r="57" spans="1:3">
      <c r="A57">
        <f t="shared" si="0"/>
        <v>28</v>
      </c>
      <c r="B57" t="str">
        <f>IF(ISEVEN(ROW()),INDEX(Matches!$D$2:$D$105,MATCH(A57,Matches!$A$2:$A$105,0)),INDEX(Matches!$E$2:$E$105,MATCH(A57,Matches!$A$2:$A$105,0)))</f>
        <v>Korea Republic</v>
      </c>
      <c r="C57" s="11">
        <v>0.91</v>
      </c>
    </row>
    <row r="58" spans="1:3">
      <c r="A58">
        <f t="shared" si="0"/>
        <v>29</v>
      </c>
      <c r="B58" t="str">
        <f>IF(ISEVEN(ROW()),INDEX(Matches!$D$2:$D$105,MATCH(A58,Matches!$A$2:$A$105,0)),INDEX(Matches!$E$2:$E$105,MATCH(A58,Matches!$A$2:$A$105,0)))</f>
        <v>USA</v>
      </c>
      <c r="C58" s="11">
        <v>1.08</v>
      </c>
    </row>
    <row r="59" spans="1:3">
      <c r="A59">
        <f t="shared" si="0"/>
        <v>29</v>
      </c>
      <c r="B59" t="str">
        <f>IF(ISEVEN(ROW()),INDEX(Matches!$D$2:$D$105,MATCH(A59,Matches!$A$2:$A$105,0)),INDEX(Matches!$E$2:$E$105,MATCH(A59,Matches!$A$2:$A$105,0)))</f>
        <v>Australia</v>
      </c>
      <c r="C59" s="11">
        <v>0.35</v>
      </c>
    </row>
    <row r="60" spans="1:3">
      <c r="A60">
        <f t="shared" si="0"/>
        <v>30</v>
      </c>
      <c r="B60" t="str">
        <f>IF(ISEVEN(ROW()),INDEX(Matches!$D$2:$D$105,MATCH(A60,Matches!$A$2:$A$105,0)),INDEX(Matches!$E$2:$E$105,MATCH(A60,Matches!$A$2:$A$105,0)))</f>
        <v>Scotland</v>
      </c>
      <c r="C60" s="11">
        <v>0.51</v>
      </c>
    </row>
    <row r="61" spans="1:3">
      <c r="A61">
        <f t="shared" si="0"/>
        <v>30</v>
      </c>
      <c r="B61" t="str">
        <f>IF(ISEVEN(ROW()),INDEX(Matches!$D$2:$D$105,MATCH(A61,Matches!$A$2:$A$105,0)),INDEX(Matches!$E$2:$E$105,MATCH(A61,Matches!$A$2:$A$105,0)))</f>
        <v>Morocco</v>
      </c>
      <c r="C61" s="11">
        <v>0.99</v>
      </c>
    </row>
    <row r="62" spans="1:3">
      <c r="A62">
        <f t="shared" si="0"/>
        <v>31</v>
      </c>
      <c r="B62" t="str">
        <f>IF(ISEVEN(ROW()),INDEX(Matches!$D$2:$D$105,MATCH(A62,Matches!$A$2:$A$105,0)),INDEX(Matches!$E$2:$E$105,MATCH(A62,Matches!$A$2:$A$105,0)))</f>
        <v>Türkiye</v>
      </c>
      <c r="C62" s="11">
        <v>2.17</v>
      </c>
    </row>
    <row r="63" spans="1:3">
      <c r="A63">
        <f t="shared" si="0"/>
        <v>31</v>
      </c>
      <c r="B63" t="str">
        <f>IF(ISEVEN(ROW()),INDEX(Matches!$D$2:$D$105,MATCH(A63,Matches!$A$2:$A$105,0)),INDEX(Matches!$E$2:$E$105,MATCH(A63,Matches!$A$2:$A$105,0)))</f>
        <v>Paraguay</v>
      </c>
      <c r="C63" s="11">
        <v>0.32</v>
      </c>
    </row>
    <row r="64" spans="1:3">
      <c r="A64">
        <f t="shared" si="0"/>
        <v>32</v>
      </c>
      <c r="B64" t="str">
        <f>IF(ISEVEN(ROW()),INDEX(Matches!$D$2:$D$105,MATCH(A64,Matches!$A$2:$A$105,0)),INDEX(Matches!$E$2:$E$105,MATCH(A64,Matches!$A$2:$A$105,0)))</f>
        <v>Brazil</v>
      </c>
      <c r="C64" s="11">
        <v>1.75</v>
      </c>
    </row>
    <row r="65" spans="1:3">
      <c r="A65">
        <f t="shared" si="0"/>
        <v>32</v>
      </c>
      <c r="B65" t="str">
        <f>IF(ISEVEN(ROW()),INDEX(Matches!$D$2:$D$105,MATCH(A65,Matches!$A$2:$A$105,0)),INDEX(Matches!$E$2:$E$105,MATCH(A65,Matches!$A$2:$A$105,0)))</f>
        <v>Haiti</v>
      </c>
      <c r="C65" s="11">
        <v>0.23</v>
      </c>
    </row>
    <row r="66" spans="1:3">
      <c r="A66">
        <f t="shared" si="0"/>
        <v>33</v>
      </c>
      <c r="B66" t="str">
        <f>IF(ISEVEN(ROW()),INDEX(Matches!$D$2:$D$105,MATCH(A66,Matches!$A$2:$A$105,0)),INDEX(Matches!$E$2:$E$105,MATCH(A66,Matches!$A$2:$A$105,0)))</f>
        <v>Netherlands</v>
      </c>
      <c r="C66" s="11">
        <v>2.61</v>
      </c>
    </row>
    <row r="67" spans="1:3">
      <c r="A67">
        <f t="shared" ref="A67:A130" si="1">INT((ROW()-2)/2)+1</f>
        <v>33</v>
      </c>
      <c r="B67" t="str">
        <f>IF(ISEVEN(ROW()),INDEX(Matches!$D$2:$D$105,MATCH(A67,Matches!$A$2:$A$105,0)),INDEX(Matches!$E$2:$E$105,MATCH(A67,Matches!$A$2:$A$105,0)))</f>
        <v>Sweden</v>
      </c>
      <c r="C67" s="11">
        <v>1.01</v>
      </c>
    </row>
    <row r="68" spans="1:3">
      <c r="A68">
        <f t="shared" si="1"/>
        <v>34</v>
      </c>
      <c r="B68" t="str">
        <f>IF(ISEVEN(ROW()),INDEX(Matches!$D$2:$D$105,MATCH(A68,Matches!$A$2:$A$105,0)),INDEX(Matches!$E$2:$E$105,MATCH(A68,Matches!$A$2:$A$105,0)))</f>
        <v>Germany</v>
      </c>
      <c r="C68" s="11">
        <v>1.89</v>
      </c>
    </row>
    <row r="69" spans="1:3">
      <c r="A69">
        <f t="shared" si="1"/>
        <v>34</v>
      </c>
      <c r="B69" t="str">
        <f>IF(ISEVEN(ROW()),INDEX(Matches!$D$2:$D$105,MATCH(A69,Matches!$A$2:$A$105,0)),INDEX(Matches!$E$2:$E$105,MATCH(A69,Matches!$A$2:$A$105,0)))</f>
        <v>Côte d'Ivoire</v>
      </c>
      <c r="C69" s="11">
        <v>1.22</v>
      </c>
    </row>
    <row r="70" spans="1:3">
      <c r="A70">
        <f t="shared" si="1"/>
        <v>35</v>
      </c>
      <c r="B70" t="str">
        <f>IF(ISEVEN(ROW()),INDEX(Matches!$D$2:$D$105,MATCH(A70,Matches!$A$2:$A$105,0)),INDEX(Matches!$E$2:$E$105,MATCH(A70,Matches!$A$2:$A$105,0)))</f>
        <v>Ecuador</v>
      </c>
      <c r="C70" s="11">
        <v>2.84</v>
      </c>
    </row>
    <row r="71" spans="1:3">
      <c r="A71">
        <f t="shared" si="1"/>
        <v>35</v>
      </c>
      <c r="B71" t="str">
        <f>IF(ISEVEN(ROW()),INDEX(Matches!$D$2:$D$105,MATCH(A71,Matches!$A$2:$A$105,0)),INDEX(Matches!$E$2:$E$105,MATCH(A71,Matches!$A$2:$A$105,0)))</f>
        <v>Curaçao</v>
      </c>
      <c r="C71" s="11">
        <v>0.5</v>
      </c>
    </row>
    <row r="72" spans="1:3">
      <c r="A72">
        <f t="shared" si="1"/>
        <v>36</v>
      </c>
      <c r="B72" t="str">
        <f>IF(ISEVEN(ROW()),INDEX(Matches!$D$2:$D$105,MATCH(A72,Matches!$A$2:$A$105,0)),INDEX(Matches!$E$2:$E$105,MATCH(A72,Matches!$A$2:$A$105,0)))</f>
        <v>Tunisia</v>
      </c>
      <c r="C72" s="11">
        <v>0.05</v>
      </c>
    </row>
    <row r="73" spans="1:3">
      <c r="A73">
        <f t="shared" si="1"/>
        <v>36</v>
      </c>
      <c r="B73" t="str">
        <f>IF(ISEVEN(ROW()),INDEX(Matches!$D$2:$D$105,MATCH(A73,Matches!$A$2:$A$105,0)),INDEX(Matches!$E$2:$E$105,MATCH(A73,Matches!$A$2:$A$105,0)))</f>
        <v>Japan</v>
      </c>
      <c r="C73" s="11">
        <v>2.13</v>
      </c>
    </row>
    <row r="74" spans="1:3">
      <c r="A74">
        <f t="shared" si="1"/>
        <v>37</v>
      </c>
      <c r="B74" t="str">
        <f>IF(ISEVEN(ROW()),INDEX(Matches!$D$2:$D$105,MATCH(A74,Matches!$A$2:$A$105,0)),INDEX(Matches!$E$2:$E$105,MATCH(A74,Matches!$A$2:$A$105,0)))</f>
        <v>Spain</v>
      </c>
      <c r="C74" s="11">
        <v>2.2999999999999998</v>
      </c>
    </row>
    <row r="75" spans="1:3">
      <c r="A75">
        <f t="shared" si="1"/>
        <v>37</v>
      </c>
      <c r="B75" t="str">
        <f>IF(ISEVEN(ROW()),INDEX(Matches!$D$2:$D$105,MATCH(A75,Matches!$A$2:$A$105,0)),INDEX(Matches!$E$2:$E$105,MATCH(A75,Matches!$A$2:$A$105,0)))</f>
        <v>Saudi Arabia</v>
      </c>
      <c r="C75" s="11">
        <v>0.14000000000000001</v>
      </c>
    </row>
    <row r="76" spans="1:3">
      <c r="A76">
        <f t="shared" si="1"/>
        <v>38</v>
      </c>
      <c r="B76" t="str">
        <f>IF(ISEVEN(ROW()),INDEX(Matches!$D$2:$D$105,MATCH(A76,Matches!$A$2:$A$105,0)),INDEX(Matches!$E$2:$E$105,MATCH(A76,Matches!$A$2:$A$105,0)))</f>
        <v>Belgium</v>
      </c>
      <c r="C76" s="11">
        <v>1.79</v>
      </c>
    </row>
    <row r="77" spans="1:3">
      <c r="A77">
        <f t="shared" si="1"/>
        <v>38</v>
      </c>
      <c r="B77" t="str">
        <f>IF(ISEVEN(ROW()),INDEX(Matches!$D$2:$D$105,MATCH(A77,Matches!$A$2:$A$105,0)),INDEX(Matches!$E$2:$E$105,MATCH(A77,Matches!$A$2:$A$105,0)))</f>
        <v>IR Iran</v>
      </c>
      <c r="C77" s="11">
        <v>0.62</v>
      </c>
    </row>
    <row r="78" spans="1:3">
      <c r="A78">
        <f t="shared" si="1"/>
        <v>39</v>
      </c>
      <c r="B78" t="str">
        <f>IF(ISEVEN(ROW()),INDEX(Matches!$D$2:$D$105,MATCH(A78,Matches!$A$2:$A$105,0)),INDEX(Matches!$E$2:$E$105,MATCH(A78,Matches!$A$2:$A$105,0)))</f>
        <v>Uruguay</v>
      </c>
      <c r="C78" s="11">
        <v>2.3199999999999998</v>
      </c>
    </row>
    <row r="79" spans="1:3">
      <c r="A79">
        <f t="shared" si="1"/>
        <v>39</v>
      </c>
      <c r="B79" t="str">
        <f>IF(ISEVEN(ROW()),INDEX(Matches!$D$2:$D$105,MATCH(A79,Matches!$A$2:$A$105,0)),INDEX(Matches!$E$2:$E$105,MATCH(A79,Matches!$A$2:$A$105,0)))</f>
        <v>Cabo Verde</v>
      </c>
      <c r="C79" s="11">
        <v>0.88</v>
      </c>
    </row>
    <row r="80" spans="1:3">
      <c r="A80">
        <f t="shared" si="1"/>
        <v>40</v>
      </c>
      <c r="B80" t="str">
        <f>IF(ISEVEN(ROW()),INDEX(Matches!$D$2:$D$105,MATCH(A80,Matches!$A$2:$A$105,0)),INDEX(Matches!$E$2:$E$105,MATCH(A80,Matches!$A$2:$A$105,0)))</f>
        <v>New Zealand</v>
      </c>
      <c r="C80" s="11">
        <v>1.24</v>
      </c>
    </row>
    <row r="81" spans="1:3">
      <c r="A81">
        <f t="shared" si="1"/>
        <v>40</v>
      </c>
      <c r="B81" t="str">
        <f>IF(ISEVEN(ROW()),INDEX(Matches!$D$2:$D$105,MATCH(A81,Matches!$A$2:$A$105,0)),INDEX(Matches!$E$2:$E$105,MATCH(A81,Matches!$A$2:$A$105,0)))</f>
        <v>Egypt</v>
      </c>
      <c r="C81" s="11">
        <v>1.87</v>
      </c>
    </row>
    <row r="82" spans="1:3">
      <c r="A82">
        <f t="shared" si="1"/>
        <v>41</v>
      </c>
      <c r="B82" t="str">
        <f>IF(ISEVEN(ROW()),INDEX(Matches!$D$2:$D$105,MATCH(A82,Matches!$A$2:$A$105,0)),INDEX(Matches!$E$2:$E$105,MATCH(A82,Matches!$A$2:$A$105,0)))</f>
        <v>Argentina</v>
      </c>
      <c r="C82" s="11">
        <v>2.36</v>
      </c>
    </row>
    <row r="83" spans="1:3">
      <c r="A83">
        <f t="shared" si="1"/>
        <v>41</v>
      </c>
      <c r="B83" t="str">
        <f>IF(ISEVEN(ROW()),INDEX(Matches!$D$2:$D$105,MATCH(A83,Matches!$A$2:$A$105,0)),INDEX(Matches!$E$2:$E$105,MATCH(A83,Matches!$A$2:$A$105,0)))</f>
        <v>Austria</v>
      </c>
      <c r="C83" s="11">
        <v>0.53</v>
      </c>
    </row>
    <row r="84" spans="1:3">
      <c r="A84">
        <f t="shared" si="1"/>
        <v>42</v>
      </c>
      <c r="B84" t="str">
        <f>IF(ISEVEN(ROW()),INDEX(Matches!$D$2:$D$105,MATCH(A84,Matches!$A$2:$A$105,0)),INDEX(Matches!$E$2:$E$105,MATCH(A84,Matches!$A$2:$A$105,0)))</f>
        <v>France</v>
      </c>
      <c r="C84" s="11">
        <v>2.67</v>
      </c>
    </row>
    <row r="85" spans="1:3">
      <c r="A85">
        <f t="shared" si="1"/>
        <v>42</v>
      </c>
      <c r="B85" t="str">
        <f>IF(ISEVEN(ROW()),INDEX(Matches!$D$2:$D$105,MATCH(A85,Matches!$A$2:$A$105,0)),INDEX(Matches!$E$2:$E$105,MATCH(A85,Matches!$A$2:$A$105,0)))</f>
        <v>Iraq</v>
      </c>
      <c r="C85" s="11">
        <v>0.63</v>
      </c>
    </row>
    <row r="86" spans="1:3">
      <c r="A86">
        <f t="shared" si="1"/>
        <v>43</v>
      </c>
      <c r="B86" t="str">
        <f>IF(ISEVEN(ROW()),INDEX(Matches!$D$2:$D$105,MATCH(A86,Matches!$A$2:$A$105,0)),INDEX(Matches!$E$2:$E$105,MATCH(A86,Matches!$A$2:$A$105,0)))</f>
        <v>Norway</v>
      </c>
      <c r="C86" s="11">
        <v>2.2000000000000002</v>
      </c>
    </row>
    <row r="87" spans="1:3">
      <c r="A87">
        <f t="shared" si="1"/>
        <v>43</v>
      </c>
      <c r="B87" t="str">
        <f>IF(ISEVEN(ROW()),INDEX(Matches!$D$2:$D$105,MATCH(A87,Matches!$A$2:$A$105,0)),INDEX(Matches!$E$2:$E$105,MATCH(A87,Matches!$A$2:$A$105,0)))</f>
        <v>Senegal</v>
      </c>
      <c r="C87" s="11">
        <v>1.72</v>
      </c>
    </row>
    <row r="88" spans="1:3">
      <c r="A88">
        <f t="shared" si="1"/>
        <v>44</v>
      </c>
      <c r="B88" t="str">
        <f>IF(ISEVEN(ROW()),INDEX(Matches!$D$2:$D$105,MATCH(A88,Matches!$A$2:$A$105,0)),INDEX(Matches!$E$2:$E$105,MATCH(A88,Matches!$A$2:$A$105,0)))</f>
        <v>Jordan</v>
      </c>
      <c r="C88" s="11">
        <v>0.63</v>
      </c>
    </row>
    <row r="89" spans="1:3">
      <c r="A89">
        <f t="shared" si="1"/>
        <v>44</v>
      </c>
      <c r="B89" t="str">
        <f>IF(ISEVEN(ROW()),INDEX(Matches!$D$2:$D$105,MATCH(A89,Matches!$A$2:$A$105,0)),INDEX(Matches!$E$2:$E$105,MATCH(A89,Matches!$A$2:$A$105,0)))</f>
        <v>Algeria</v>
      </c>
      <c r="C89" s="11">
        <v>1.89</v>
      </c>
    </row>
    <row r="90" spans="1:3">
      <c r="A90">
        <f t="shared" si="1"/>
        <v>45</v>
      </c>
      <c r="B90" t="str">
        <f>IF(ISEVEN(ROW()),INDEX(Matches!$D$2:$D$105,MATCH(A90,Matches!$A$2:$A$105,0)),INDEX(Matches!$E$2:$E$105,MATCH(A90,Matches!$A$2:$A$105,0)))</f>
        <v>Portugal</v>
      </c>
      <c r="C90" s="11">
        <v>2.61</v>
      </c>
    </row>
    <row r="91" spans="1:3">
      <c r="A91">
        <f t="shared" si="1"/>
        <v>45</v>
      </c>
      <c r="B91" t="str">
        <f>IF(ISEVEN(ROW()),INDEX(Matches!$D$2:$D$105,MATCH(A91,Matches!$A$2:$A$105,0)),INDEX(Matches!$E$2:$E$105,MATCH(A91,Matches!$A$2:$A$105,0)))</f>
        <v>Uzbekistan</v>
      </c>
      <c r="C91" s="11">
        <v>0.24</v>
      </c>
    </row>
    <row r="92" spans="1:3">
      <c r="A92">
        <f t="shared" si="1"/>
        <v>46</v>
      </c>
      <c r="B92" t="str">
        <f>IF(ISEVEN(ROW()),INDEX(Matches!$D$2:$D$105,MATCH(A92,Matches!$A$2:$A$105,0)),INDEX(Matches!$E$2:$E$105,MATCH(A92,Matches!$A$2:$A$105,0)))</f>
        <v>England</v>
      </c>
      <c r="C92" s="11">
        <v>1.36</v>
      </c>
    </row>
    <row r="93" spans="1:3">
      <c r="A93">
        <f t="shared" si="1"/>
        <v>46</v>
      </c>
      <c r="B93" t="str">
        <f>IF(ISEVEN(ROW()),INDEX(Matches!$D$2:$D$105,MATCH(A93,Matches!$A$2:$A$105,0)),INDEX(Matches!$E$2:$E$105,MATCH(A93,Matches!$A$2:$A$105,0)))</f>
        <v>Ghana</v>
      </c>
      <c r="C93" s="11">
        <v>0.17</v>
      </c>
    </row>
    <row r="94" spans="1:3">
      <c r="A94">
        <f t="shared" si="1"/>
        <v>47</v>
      </c>
      <c r="B94" t="str">
        <f>IF(ISEVEN(ROW()),INDEX(Matches!$D$2:$D$105,MATCH(A94,Matches!$A$2:$A$105,0)),INDEX(Matches!$E$2:$E$105,MATCH(A94,Matches!$A$2:$A$105,0)))</f>
        <v>Panama</v>
      </c>
      <c r="C94" s="11">
        <v>0.55000000000000004</v>
      </c>
    </row>
    <row r="95" spans="1:3">
      <c r="A95">
        <f t="shared" si="1"/>
        <v>47</v>
      </c>
      <c r="B95" t="str">
        <f>IF(ISEVEN(ROW()),INDEX(Matches!$D$2:$D$105,MATCH(A95,Matches!$A$2:$A$105,0)),INDEX(Matches!$E$2:$E$105,MATCH(A95,Matches!$A$2:$A$105,0)))</f>
        <v>Croatia</v>
      </c>
      <c r="C95" s="11">
        <v>1.65</v>
      </c>
    </row>
    <row r="96" spans="1:3">
      <c r="A96">
        <f t="shared" si="1"/>
        <v>48</v>
      </c>
      <c r="B96" t="str">
        <f>IF(ISEVEN(ROW()),INDEX(Matches!$D$2:$D$105,MATCH(A96,Matches!$A$2:$A$105,0)),INDEX(Matches!$E$2:$E$105,MATCH(A96,Matches!$A$2:$A$105,0)))</f>
        <v>Colombia</v>
      </c>
      <c r="C96" s="11">
        <v>0.98</v>
      </c>
    </row>
    <row r="97" spans="1:3">
      <c r="A97">
        <f t="shared" si="1"/>
        <v>48</v>
      </c>
      <c r="B97" t="str">
        <f>IF(ISEVEN(ROW()),INDEX(Matches!$D$2:$D$105,MATCH(A97,Matches!$A$2:$A$105,0)),INDEX(Matches!$E$2:$E$105,MATCH(A97,Matches!$A$2:$A$105,0)))</f>
        <v>Congo DR</v>
      </c>
      <c r="C97" s="11">
        <v>0.37</v>
      </c>
    </row>
    <row r="98" spans="1:3">
      <c r="A98">
        <f t="shared" si="1"/>
        <v>49</v>
      </c>
      <c r="B98" t="str">
        <f>IF(ISEVEN(ROW()),INDEX(Matches!$D$2:$D$105,MATCH(A98,Matches!$A$2:$A$105,0)),INDEX(Matches!$E$2:$E$105,MATCH(A98,Matches!$A$2:$A$105,0)))</f>
        <v>Switzerland</v>
      </c>
      <c r="C98" s="11">
        <v>1.1100000000000001</v>
      </c>
    </row>
    <row r="99" spans="1:3">
      <c r="A99">
        <f t="shared" si="1"/>
        <v>49</v>
      </c>
      <c r="B99" t="str">
        <f>IF(ISEVEN(ROW()),INDEX(Matches!$D$2:$D$105,MATCH(A99,Matches!$A$2:$A$105,0)),INDEX(Matches!$E$2:$E$105,MATCH(A99,Matches!$A$2:$A$105,0)))</f>
        <v>Canada</v>
      </c>
      <c r="C99" s="11">
        <v>1.66</v>
      </c>
    </row>
    <row r="100" spans="1:3">
      <c r="A100">
        <f t="shared" si="1"/>
        <v>50</v>
      </c>
      <c r="B100" t="str">
        <f>IF(ISEVEN(ROW()),INDEX(Matches!$D$2:$D$105,MATCH(A100,Matches!$A$2:$A$105,0)),INDEX(Matches!$E$2:$E$105,MATCH(A100,Matches!$A$2:$A$105,0)))</f>
        <v>Bosnia and Herzegovina</v>
      </c>
      <c r="C100" s="11">
        <v>0.68</v>
      </c>
    </row>
    <row r="101" spans="1:3">
      <c r="A101">
        <f t="shared" si="1"/>
        <v>50</v>
      </c>
      <c r="B101" t="str">
        <f>IF(ISEVEN(ROW()),INDEX(Matches!$D$2:$D$105,MATCH(A101,Matches!$A$2:$A$105,0)),INDEX(Matches!$E$2:$E$105,MATCH(A101,Matches!$A$2:$A$105,0)))</f>
        <v>Qatar</v>
      </c>
      <c r="C101" s="11">
        <v>0.77</v>
      </c>
    </row>
    <row r="102" spans="1:3">
      <c r="A102">
        <f t="shared" si="1"/>
        <v>51</v>
      </c>
      <c r="B102" t="str">
        <f>IF(ISEVEN(ROW()),INDEX(Matches!$D$2:$D$105,MATCH(A102,Matches!$A$2:$A$105,0)),INDEX(Matches!$E$2:$E$105,MATCH(A102,Matches!$A$2:$A$105,0)))</f>
        <v>Scotland</v>
      </c>
      <c r="C102" s="11">
        <v>1.04</v>
      </c>
    </row>
    <row r="103" spans="1:3">
      <c r="A103">
        <f t="shared" si="1"/>
        <v>51</v>
      </c>
      <c r="B103" t="str">
        <f>IF(ISEVEN(ROW()),INDEX(Matches!$D$2:$D$105,MATCH(A103,Matches!$A$2:$A$105,0)),INDEX(Matches!$E$2:$E$105,MATCH(A103,Matches!$A$2:$A$105,0)))</f>
        <v>Brazil</v>
      </c>
      <c r="C103" s="11">
        <v>4.33</v>
      </c>
    </row>
    <row r="104" spans="1:3">
      <c r="A104">
        <f t="shared" si="1"/>
        <v>52</v>
      </c>
      <c r="B104" t="str">
        <f>IF(ISEVEN(ROW()),INDEX(Matches!$D$2:$D$105,MATCH(A104,Matches!$A$2:$A$105,0)),INDEX(Matches!$E$2:$E$105,MATCH(A104,Matches!$A$2:$A$105,0)))</f>
        <v>Morocco</v>
      </c>
      <c r="C104" s="11">
        <v>3.76</v>
      </c>
    </row>
    <row r="105" spans="1:3">
      <c r="A105">
        <f t="shared" si="1"/>
        <v>52</v>
      </c>
      <c r="B105" t="str">
        <f>IF(ISEVEN(ROW()),INDEX(Matches!$D$2:$D$105,MATCH(A105,Matches!$A$2:$A$105,0)),INDEX(Matches!$E$2:$E$105,MATCH(A105,Matches!$A$2:$A$105,0)))</f>
        <v>Haiti</v>
      </c>
      <c r="C105" s="11">
        <v>0.67</v>
      </c>
    </row>
    <row r="106" spans="1:3">
      <c r="A106">
        <f t="shared" si="1"/>
        <v>53</v>
      </c>
      <c r="B106" t="str">
        <f>IF(ISEVEN(ROW()),INDEX(Matches!$D$2:$D$105,MATCH(A106,Matches!$A$2:$A$105,0)),INDEX(Matches!$E$2:$E$105,MATCH(A106,Matches!$A$2:$A$105,0)))</f>
        <v>South Africa</v>
      </c>
      <c r="C106" s="11">
        <v>1.1599999999999999</v>
      </c>
    </row>
    <row r="107" spans="1:3">
      <c r="A107">
        <f t="shared" si="1"/>
        <v>53</v>
      </c>
      <c r="B107" t="str">
        <f>IF(ISEVEN(ROW()),INDEX(Matches!$D$2:$D$105,MATCH(A107,Matches!$A$2:$A$105,0)),INDEX(Matches!$E$2:$E$105,MATCH(A107,Matches!$A$2:$A$105,0)))</f>
        <v>Korea Republic</v>
      </c>
      <c r="C107" s="11">
        <v>0.9</v>
      </c>
    </row>
    <row r="108" spans="1:3">
      <c r="A108">
        <f t="shared" si="1"/>
        <v>54</v>
      </c>
      <c r="B108" t="str">
        <f>IF(ISEVEN(ROW()),INDEX(Matches!$D$2:$D$105,MATCH(A108,Matches!$A$2:$A$105,0)),INDEX(Matches!$E$2:$E$105,MATCH(A108,Matches!$A$2:$A$105,0)))</f>
        <v>Czechia</v>
      </c>
    </row>
    <row r="109" spans="1:3">
      <c r="A109">
        <f t="shared" si="1"/>
        <v>54</v>
      </c>
      <c r="B109" t="str">
        <f>IF(ISEVEN(ROW()),INDEX(Matches!$D$2:$D$105,MATCH(A109,Matches!$A$2:$A$105,0)),INDEX(Matches!$E$2:$E$105,MATCH(A109,Matches!$A$2:$A$105,0)))</f>
        <v>Mexico</v>
      </c>
    </row>
    <row r="110" spans="1:3">
      <c r="A110">
        <f t="shared" si="1"/>
        <v>55</v>
      </c>
      <c r="B110" t="str">
        <f>IF(ISEVEN(ROW()),INDEX(Matches!$D$2:$D$105,MATCH(A110,Matches!$A$2:$A$105,0)),INDEX(Matches!$E$2:$E$105,MATCH(A110,Matches!$A$2:$A$105,0)))</f>
        <v>Curaçao</v>
      </c>
      <c r="C110" s="11">
        <v>0.5</v>
      </c>
    </row>
    <row r="111" spans="1:3">
      <c r="A111">
        <f t="shared" si="1"/>
        <v>55</v>
      </c>
      <c r="B111" t="str">
        <f>IF(ISEVEN(ROW()),INDEX(Matches!$D$2:$D$105,MATCH(A111,Matches!$A$2:$A$105,0)),INDEX(Matches!$E$2:$E$105,MATCH(A111,Matches!$A$2:$A$105,0)))</f>
        <v>Côte d'Ivoire</v>
      </c>
      <c r="C111" s="11">
        <v>1.31</v>
      </c>
    </row>
    <row r="112" spans="1:3">
      <c r="A112">
        <f t="shared" si="1"/>
        <v>56</v>
      </c>
      <c r="B112" t="str">
        <f>IF(ISEVEN(ROW()),INDEX(Matches!$D$2:$D$105,MATCH(A112,Matches!$A$2:$A$105,0)),INDEX(Matches!$E$2:$E$105,MATCH(A112,Matches!$A$2:$A$105,0)))</f>
        <v>Ecuador</v>
      </c>
      <c r="C112" s="11">
        <v>1.27</v>
      </c>
    </row>
    <row r="113" spans="1:3">
      <c r="A113">
        <f t="shared" si="1"/>
        <v>56</v>
      </c>
      <c r="B113" t="str">
        <f>IF(ISEVEN(ROW()),INDEX(Matches!$D$2:$D$105,MATCH(A113,Matches!$A$2:$A$105,0)),INDEX(Matches!$E$2:$E$105,MATCH(A113,Matches!$A$2:$A$105,0)))</f>
        <v>Germany</v>
      </c>
      <c r="C113" s="11">
        <v>0.65</v>
      </c>
    </row>
    <row r="114" spans="1:3">
      <c r="A114">
        <f t="shared" si="1"/>
        <v>57</v>
      </c>
      <c r="B114" t="str">
        <f>IF(ISEVEN(ROW()),INDEX(Matches!$D$2:$D$105,MATCH(A114,Matches!$A$2:$A$105,0)),INDEX(Matches!$E$2:$E$105,MATCH(A114,Matches!$A$2:$A$105,0)))</f>
        <v>Tunisia</v>
      </c>
      <c r="C114" s="11">
        <v>0.62</v>
      </c>
    </row>
    <row r="115" spans="1:3">
      <c r="A115">
        <f t="shared" si="1"/>
        <v>57</v>
      </c>
      <c r="B115" t="str">
        <f>IF(ISEVEN(ROW()),INDEX(Matches!$D$2:$D$105,MATCH(A115,Matches!$A$2:$A$105,0)),INDEX(Matches!$E$2:$E$105,MATCH(A115,Matches!$A$2:$A$105,0)))</f>
        <v>Netherlands</v>
      </c>
      <c r="C115" s="11">
        <v>1.85</v>
      </c>
    </row>
    <row r="116" spans="1:3">
      <c r="A116">
        <f t="shared" si="1"/>
        <v>58</v>
      </c>
      <c r="B116" t="str">
        <f>IF(ISEVEN(ROW()),INDEX(Matches!$D$2:$D$105,MATCH(A116,Matches!$A$2:$A$105,0)),INDEX(Matches!$E$2:$E$105,MATCH(A116,Matches!$A$2:$A$105,0)))</f>
        <v>Japan</v>
      </c>
    </row>
    <row r="117" spans="1:3">
      <c r="A117">
        <f t="shared" si="1"/>
        <v>58</v>
      </c>
      <c r="B117" t="str">
        <f>IF(ISEVEN(ROW()),INDEX(Matches!$D$2:$D$105,MATCH(A117,Matches!$A$2:$A$105,0)),INDEX(Matches!$E$2:$E$105,MATCH(A117,Matches!$A$2:$A$105,0)))</f>
        <v>Sweden</v>
      </c>
    </row>
    <row r="118" spans="1:3">
      <c r="A118">
        <f t="shared" si="1"/>
        <v>59</v>
      </c>
      <c r="B118" t="str">
        <f>IF(ISEVEN(ROW()),INDEX(Matches!$D$2:$D$105,MATCH(A118,Matches!$A$2:$A$105,0)),INDEX(Matches!$E$2:$E$105,MATCH(A118,Matches!$A$2:$A$105,0)))</f>
        <v>Türkiye</v>
      </c>
      <c r="C118" s="11">
        <v>3.01</v>
      </c>
    </row>
    <row r="119" spans="1:3">
      <c r="A119">
        <f t="shared" si="1"/>
        <v>59</v>
      </c>
      <c r="B119" t="str">
        <f>IF(ISEVEN(ROW()),INDEX(Matches!$D$2:$D$105,MATCH(A119,Matches!$A$2:$A$105,0)),INDEX(Matches!$E$2:$E$105,MATCH(A119,Matches!$A$2:$A$105,0)))</f>
        <v>USA</v>
      </c>
      <c r="C119" s="11">
        <v>2.13</v>
      </c>
    </row>
    <row r="120" spans="1:3">
      <c r="A120">
        <f t="shared" si="1"/>
        <v>60</v>
      </c>
      <c r="B120" t="str">
        <f>IF(ISEVEN(ROW()),INDEX(Matches!$D$2:$D$105,MATCH(A120,Matches!$A$2:$A$105,0)),INDEX(Matches!$E$2:$E$105,MATCH(A120,Matches!$A$2:$A$105,0)))</f>
        <v>Paraguay</v>
      </c>
      <c r="C120" s="11">
        <v>0.24</v>
      </c>
    </row>
    <row r="121" spans="1:3">
      <c r="A121">
        <f t="shared" si="1"/>
        <v>60</v>
      </c>
      <c r="B121" t="str">
        <f>IF(ISEVEN(ROW()),INDEX(Matches!$D$2:$D$105,MATCH(A121,Matches!$A$2:$A$105,0)),INDEX(Matches!$E$2:$E$105,MATCH(A121,Matches!$A$2:$A$105,0)))</f>
        <v>Australia</v>
      </c>
      <c r="C121" s="11">
        <v>0.55000000000000004</v>
      </c>
    </row>
    <row r="122" spans="1:3">
      <c r="A122">
        <f t="shared" si="1"/>
        <v>61</v>
      </c>
      <c r="B122" t="str">
        <f>IF(ISEVEN(ROW()),INDEX(Matches!$D$2:$D$105,MATCH(A122,Matches!$A$2:$A$105,0)),INDEX(Matches!$E$2:$E$105,MATCH(A122,Matches!$A$2:$A$105,0)))</f>
        <v>Norway</v>
      </c>
      <c r="C122" s="11">
        <v>1.7</v>
      </c>
    </row>
    <row r="123" spans="1:3">
      <c r="A123">
        <f t="shared" si="1"/>
        <v>61</v>
      </c>
      <c r="B123" t="str">
        <f>IF(ISEVEN(ROW()),INDEX(Matches!$D$2:$D$105,MATCH(A123,Matches!$A$2:$A$105,0)),INDEX(Matches!$E$2:$E$105,MATCH(A123,Matches!$A$2:$A$105,0)))</f>
        <v>France</v>
      </c>
      <c r="C123" s="11">
        <v>1.5</v>
      </c>
    </row>
    <row r="124" spans="1:3">
      <c r="A124">
        <f t="shared" si="1"/>
        <v>62</v>
      </c>
      <c r="B124" t="str">
        <f>IF(ISEVEN(ROW()),INDEX(Matches!$D$2:$D$105,MATCH(A124,Matches!$A$2:$A$105,0)),INDEX(Matches!$E$2:$E$105,MATCH(A124,Matches!$A$2:$A$105,0)))</f>
        <v>Senegal</v>
      </c>
      <c r="C124" s="11">
        <v>3.01</v>
      </c>
    </row>
    <row r="125" spans="1:3">
      <c r="A125">
        <f t="shared" si="1"/>
        <v>62</v>
      </c>
      <c r="B125" t="str">
        <f>IF(ISEVEN(ROW()),INDEX(Matches!$D$2:$D$105,MATCH(A125,Matches!$A$2:$A$105,0)),INDEX(Matches!$E$2:$E$105,MATCH(A125,Matches!$A$2:$A$105,0)))</f>
        <v>Iraq</v>
      </c>
      <c r="C125" s="11">
        <v>1.04</v>
      </c>
    </row>
    <row r="126" spans="1:3">
      <c r="A126">
        <f t="shared" si="1"/>
        <v>63</v>
      </c>
      <c r="B126" t="str">
        <f>IF(ISEVEN(ROW()),INDEX(Matches!$D$2:$D$105,MATCH(A126,Matches!$A$2:$A$105,0)),INDEX(Matches!$E$2:$E$105,MATCH(A126,Matches!$A$2:$A$105,0)))</f>
        <v>Uruguay</v>
      </c>
      <c r="C126" s="11">
        <v>0.2</v>
      </c>
    </row>
    <row r="127" spans="1:3">
      <c r="A127">
        <f t="shared" si="1"/>
        <v>63</v>
      </c>
      <c r="B127" t="str">
        <f>IF(ISEVEN(ROW()),INDEX(Matches!$D$2:$D$105,MATCH(A127,Matches!$A$2:$A$105,0)),INDEX(Matches!$E$2:$E$105,MATCH(A127,Matches!$A$2:$A$105,0)))</f>
        <v>Spain</v>
      </c>
      <c r="C127" s="11">
        <v>0.86</v>
      </c>
    </row>
    <row r="128" spans="1:3">
      <c r="A128">
        <f t="shared" si="1"/>
        <v>64</v>
      </c>
      <c r="B128" t="str">
        <f>IF(ISEVEN(ROW()),INDEX(Matches!$D$2:$D$105,MATCH(A128,Matches!$A$2:$A$105,0)),INDEX(Matches!$E$2:$E$105,MATCH(A128,Matches!$A$2:$A$105,0)))</f>
        <v>Cabo Verde</v>
      </c>
      <c r="C128" s="11">
        <v>1.39</v>
      </c>
    </row>
    <row r="129" spans="1:3">
      <c r="A129">
        <f t="shared" si="1"/>
        <v>64</v>
      </c>
      <c r="B129" t="str">
        <f>IF(ISEVEN(ROW()),INDEX(Matches!$D$2:$D$105,MATCH(A129,Matches!$A$2:$A$105,0)),INDEX(Matches!$E$2:$E$105,MATCH(A129,Matches!$A$2:$A$105,0)))</f>
        <v>Saudi Arabia</v>
      </c>
      <c r="C129" s="11">
        <v>0.39</v>
      </c>
    </row>
    <row r="130" spans="1:3">
      <c r="A130">
        <f t="shared" si="1"/>
        <v>65</v>
      </c>
      <c r="B130" t="str">
        <f>IF(ISEVEN(ROW()),INDEX(Matches!$D$2:$D$105,MATCH(A130,Matches!$A$2:$A$105,0)),INDEX(Matches!$E$2:$E$105,MATCH(A130,Matches!$A$2:$A$105,0)))</f>
        <v>Egypt</v>
      </c>
      <c r="C130" s="11">
        <v>0.84</v>
      </c>
    </row>
    <row r="131" spans="1:3">
      <c r="A131">
        <f t="shared" ref="A131:A194" si="2">INT((ROW()-2)/2)+1</f>
        <v>65</v>
      </c>
      <c r="B131" t="str">
        <f>IF(ISEVEN(ROW()),INDEX(Matches!$D$2:$D$105,MATCH(A131,Matches!$A$2:$A$105,0)),INDEX(Matches!$E$2:$E$105,MATCH(A131,Matches!$A$2:$A$105,0)))</f>
        <v>IR Iran</v>
      </c>
      <c r="C131" s="11">
        <v>1.97</v>
      </c>
    </row>
    <row r="132" spans="1:3">
      <c r="A132">
        <f t="shared" si="2"/>
        <v>66</v>
      </c>
      <c r="B132" t="str">
        <f>IF(ISEVEN(ROW()),INDEX(Matches!$D$2:$D$105,MATCH(A132,Matches!$A$2:$A$105,0)),INDEX(Matches!$E$2:$E$105,MATCH(A132,Matches!$A$2:$A$105,0)))</f>
        <v>New Zealand</v>
      </c>
      <c r="C132" s="11">
        <v>0.25</v>
      </c>
    </row>
    <row r="133" spans="1:3">
      <c r="A133">
        <f t="shared" si="2"/>
        <v>66</v>
      </c>
      <c r="B133" t="str">
        <f>IF(ISEVEN(ROW()),INDEX(Matches!$D$2:$D$105,MATCH(A133,Matches!$A$2:$A$105,0)),INDEX(Matches!$E$2:$E$105,MATCH(A133,Matches!$A$2:$A$105,0)))</f>
        <v>Belgium</v>
      </c>
      <c r="C133" s="11">
        <v>3.69</v>
      </c>
    </row>
    <row r="134" spans="1:3">
      <c r="A134">
        <f t="shared" si="2"/>
        <v>67</v>
      </c>
      <c r="B134" t="str">
        <f>IF(ISEVEN(ROW()),INDEX(Matches!$D$2:$D$105,MATCH(A134,Matches!$A$2:$A$105,0)),INDEX(Matches!$E$2:$E$105,MATCH(A134,Matches!$A$2:$A$105,0)))</f>
        <v>Croatia</v>
      </c>
      <c r="C134" s="11">
        <v>0.42</v>
      </c>
    </row>
    <row r="135" spans="1:3">
      <c r="A135">
        <f t="shared" si="2"/>
        <v>67</v>
      </c>
      <c r="B135" t="str">
        <f>IF(ISEVEN(ROW()),INDEX(Matches!$D$2:$D$105,MATCH(A135,Matches!$A$2:$A$105,0)),INDEX(Matches!$E$2:$E$105,MATCH(A135,Matches!$A$2:$A$105,0)))</f>
        <v>Ghana</v>
      </c>
      <c r="C135" s="11">
        <v>0.74</v>
      </c>
    </row>
    <row r="136" spans="1:3">
      <c r="A136">
        <f t="shared" si="2"/>
        <v>68</v>
      </c>
      <c r="B136" t="str">
        <f>IF(ISEVEN(ROW()),INDEX(Matches!$D$2:$D$105,MATCH(A136,Matches!$A$2:$A$105,0)),INDEX(Matches!$E$2:$E$105,MATCH(A136,Matches!$A$2:$A$105,0)))</f>
        <v>Panama</v>
      </c>
      <c r="C136" s="11">
        <v>0.57999999999999996</v>
      </c>
    </row>
    <row r="137" spans="1:3">
      <c r="A137">
        <f t="shared" si="2"/>
        <v>68</v>
      </c>
      <c r="B137" t="str">
        <f>IF(ISEVEN(ROW()),INDEX(Matches!$D$2:$D$105,MATCH(A137,Matches!$A$2:$A$105,0)),INDEX(Matches!$E$2:$E$105,MATCH(A137,Matches!$A$2:$A$105,0)))</f>
        <v>England</v>
      </c>
      <c r="C137" s="11">
        <v>1.49</v>
      </c>
    </row>
    <row r="138" spans="1:3">
      <c r="A138">
        <f t="shared" si="2"/>
        <v>69</v>
      </c>
      <c r="B138" t="str">
        <f>IF(ISEVEN(ROW()),INDEX(Matches!$D$2:$D$105,MATCH(A138,Matches!$A$2:$A$105,0)),INDEX(Matches!$E$2:$E$105,MATCH(A138,Matches!$A$2:$A$105,0)))</f>
        <v>Congo DR</v>
      </c>
      <c r="C138" s="11">
        <v>2.1800000000000002</v>
      </c>
    </row>
    <row r="139" spans="1:3">
      <c r="A139">
        <f t="shared" si="2"/>
        <v>69</v>
      </c>
      <c r="B139" t="str">
        <f>IF(ISEVEN(ROW()),INDEX(Matches!$D$2:$D$105,MATCH(A139,Matches!$A$2:$A$105,0)),INDEX(Matches!$E$2:$E$105,MATCH(A139,Matches!$A$2:$A$105,0)))</f>
        <v>Uzbekistan</v>
      </c>
      <c r="C139" s="11">
        <v>0.2</v>
      </c>
    </row>
    <row r="140" spans="1:3">
      <c r="A140">
        <f t="shared" si="2"/>
        <v>70</v>
      </c>
      <c r="B140" t="str">
        <f>IF(ISEVEN(ROW()),INDEX(Matches!$D$2:$D$105,MATCH(A140,Matches!$A$2:$A$105,0)),INDEX(Matches!$E$2:$E$105,MATCH(A140,Matches!$A$2:$A$105,0)))</f>
        <v>Colombia</v>
      </c>
      <c r="C140" s="11">
        <v>1.7</v>
      </c>
    </row>
    <row r="141" spans="1:3">
      <c r="A141">
        <f t="shared" si="2"/>
        <v>70</v>
      </c>
      <c r="B141" t="str">
        <f>IF(ISEVEN(ROW()),INDEX(Matches!$D$2:$D$105,MATCH(A141,Matches!$A$2:$A$105,0)),INDEX(Matches!$E$2:$E$105,MATCH(A141,Matches!$A$2:$A$105,0)))</f>
        <v>Portugal</v>
      </c>
      <c r="C141" s="11">
        <v>0.93</v>
      </c>
    </row>
    <row r="142" spans="1:3">
      <c r="A142">
        <f t="shared" si="2"/>
        <v>71</v>
      </c>
      <c r="B142" t="str">
        <f>IF(ISEVEN(ROW()),INDEX(Matches!$D$2:$D$105,MATCH(A142,Matches!$A$2:$A$105,0)),INDEX(Matches!$E$2:$E$105,MATCH(A142,Matches!$A$2:$A$105,0)))</f>
        <v>Jordan</v>
      </c>
      <c r="C142" s="11">
        <v>0.76</v>
      </c>
    </row>
    <row r="143" spans="1:3">
      <c r="A143">
        <f t="shared" si="2"/>
        <v>71</v>
      </c>
      <c r="B143" t="str">
        <f>IF(ISEVEN(ROW()),INDEX(Matches!$D$2:$D$105,MATCH(A143,Matches!$A$2:$A$105,0)),INDEX(Matches!$E$2:$E$105,MATCH(A143,Matches!$A$2:$A$105,0)))</f>
        <v>Argentina</v>
      </c>
      <c r="C143" s="11">
        <v>2.13</v>
      </c>
    </row>
    <row r="144" spans="1:3">
      <c r="A144">
        <f t="shared" si="2"/>
        <v>72</v>
      </c>
      <c r="B144" t="str">
        <f>IF(ISEVEN(ROW()),INDEX(Matches!$D$2:$D$105,MATCH(A144,Matches!$A$2:$A$105,0)),INDEX(Matches!$E$2:$E$105,MATCH(A144,Matches!$A$2:$A$105,0)))</f>
        <v>Algeria</v>
      </c>
      <c r="C144" s="11">
        <v>1.67</v>
      </c>
    </row>
    <row r="145" spans="1:3">
      <c r="A145">
        <f t="shared" si="2"/>
        <v>72</v>
      </c>
      <c r="B145" t="str">
        <f>IF(ISEVEN(ROW()),INDEX(Matches!$D$2:$D$105,MATCH(A145,Matches!$A$2:$A$105,0)),INDEX(Matches!$E$2:$E$105,MATCH(A145,Matches!$A$2:$A$105,0)))</f>
        <v>Austria</v>
      </c>
      <c r="C145" s="11">
        <v>1.49</v>
      </c>
    </row>
    <row r="146" spans="1:3">
      <c r="A146">
        <f t="shared" si="2"/>
        <v>73</v>
      </c>
      <c r="B146" t="str">
        <f>IF(ISEVEN(ROW()),INDEX(Matches!$D$2:$D$105,MATCH(A146,Matches!$A$2:$A$105,0)),INDEX(Matches!$E$2:$E$105,MATCH(A146,Matches!$A$2:$A$105,0)))</f>
        <v>South Africa</v>
      </c>
      <c r="C146" s="11">
        <v>0.14000000000000001</v>
      </c>
    </row>
    <row r="147" spans="1:3">
      <c r="A147">
        <f t="shared" si="2"/>
        <v>73</v>
      </c>
      <c r="B147" t="str">
        <f>IF(ISEVEN(ROW()),INDEX(Matches!$D$2:$D$105,MATCH(A147,Matches!$A$2:$A$105,0)),INDEX(Matches!$E$2:$E$105,MATCH(A147,Matches!$A$2:$A$105,0)))</f>
        <v>Canada</v>
      </c>
      <c r="C147" s="11">
        <v>1.38</v>
      </c>
    </row>
    <row r="148" spans="1:3">
      <c r="A148">
        <f t="shared" si="2"/>
        <v>74</v>
      </c>
      <c r="B148" t="str">
        <f>IF(ISEVEN(ROW()),INDEX(Matches!$D$2:$D$105,MATCH(A148,Matches!$A$2:$A$105,0)),INDEX(Matches!$E$2:$E$105,MATCH(A148,Matches!$A$2:$A$105,0)))</f>
        <v>Brazil</v>
      </c>
      <c r="C148" s="11">
        <v>2.0699999999999998</v>
      </c>
    </row>
    <row r="149" spans="1:3">
      <c r="A149">
        <f t="shared" si="2"/>
        <v>74</v>
      </c>
      <c r="B149" t="str">
        <f>IF(ISEVEN(ROW()),INDEX(Matches!$D$2:$D$105,MATCH(A149,Matches!$A$2:$A$105,0)),INDEX(Matches!$E$2:$E$105,MATCH(A149,Matches!$A$2:$A$105,0)))</f>
        <v>Japan</v>
      </c>
      <c r="C149" s="11">
        <v>0.33</v>
      </c>
    </row>
    <row r="150" spans="1:3">
      <c r="A150">
        <f t="shared" si="2"/>
        <v>75</v>
      </c>
      <c r="B150" t="str">
        <f>IF(ISEVEN(ROW()),INDEX(Matches!$D$2:$D$105,MATCH(A150,Matches!$A$2:$A$105,0)),INDEX(Matches!$E$2:$E$105,MATCH(A150,Matches!$A$2:$A$105,0)))</f>
        <v>Germany</v>
      </c>
      <c r="C150" s="11">
        <v>1.57</v>
      </c>
    </row>
    <row r="151" spans="1:3">
      <c r="A151">
        <f t="shared" si="2"/>
        <v>75</v>
      </c>
      <c r="B151" t="str">
        <f>IF(ISEVEN(ROW()),INDEX(Matches!$D$2:$D$105,MATCH(A151,Matches!$A$2:$A$105,0)),INDEX(Matches!$E$2:$E$105,MATCH(A151,Matches!$A$2:$A$105,0)))</f>
        <v>Paraguay</v>
      </c>
      <c r="C151" s="11">
        <v>0.35</v>
      </c>
    </row>
    <row r="152" spans="1:3">
      <c r="A152">
        <f t="shared" si="2"/>
        <v>76</v>
      </c>
      <c r="B152" t="str">
        <f>IF(ISEVEN(ROW()),INDEX(Matches!$D$2:$D$105,MATCH(A152,Matches!$A$2:$A$105,0)),INDEX(Matches!$E$2:$E$105,MATCH(A152,Matches!$A$2:$A$105,0)))</f>
        <v>Netherlands</v>
      </c>
      <c r="C152" s="11">
        <v>0.24</v>
      </c>
    </row>
    <row r="153" spans="1:3">
      <c r="A153">
        <f t="shared" si="2"/>
        <v>76</v>
      </c>
      <c r="B153" t="str">
        <f>IF(ISEVEN(ROW()),INDEX(Matches!$D$2:$D$105,MATCH(A153,Matches!$A$2:$A$105,0)),INDEX(Matches!$E$2:$E$105,MATCH(A153,Matches!$A$2:$A$105,0)))</f>
        <v>Morocco</v>
      </c>
      <c r="C153" s="11">
        <v>1.38</v>
      </c>
    </row>
    <row r="154" spans="1:3">
      <c r="A154">
        <f t="shared" si="2"/>
        <v>77</v>
      </c>
      <c r="B154" t="str">
        <f>IF(ISEVEN(ROW()),INDEX(Matches!$D$2:$D$105,MATCH(A154,Matches!$A$2:$A$105,0)),INDEX(Matches!$E$2:$E$105,MATCH(A154,Matches!$A$2:$A$105,0)))</f>
        <v>Côte d'Ivoire</v>
      </c>
      <c r="C154" s="11">
        <v>1.49</v>
      </c>
    </row>
    <row r="155" spans="1:3">
      <c r="A155">
        <f t="shared" si="2"/>
        <v>77</v>
      </c>
      <c r="B155" t="str">
        <f>IF(ISEVEN(ROW()),INDEX(Matches!$D$2:$D$105,MATCH(A155,Matches!$A$2:$A$105,0)),INDEX(Matches!$E$2:$E$105,MATCH(A155,Matches!$A$2:$A$105,0)))</f>
        <v>Norway</v>
      </c>
      <c r="C155" s="11">
        <v>1.9</v>
      </c>
    </row>
    <row r="156" spans="1:3">
      <c r="A156">
        <f t="shared" si="2"/>
        <v>78</v>
      </c>
      <c r="B156" t="str">
        <f>IF(ISEVEN(ROW()),INDEX(Matches!$D$2:$D$105,MATCH(A156,Matches!$A$2:$A$105,0)),INDEX(Matches!$E$2:$E$105,MATCH(A156,Matches!$A$2:$A$105,0)))</f>
        <v>France</v>
      </c>
      <c r="C156" s="11">
        <v>3.24</v>
      </c>
    </row>
    <row r="157" spans="1:3">
      <c r="A157">
        <f t="shared" si="2"/>
        <v>78</v>
      </c>
      <c r="B157" t="str">
        <f>IF(ISEVEN(ROW()),INDEX(Matches!$D$2:$D$105,MATCH(A157,Matches!$A$2:$A$105,0)),INDEX(Matches!$E$2:$E$105,MATCH(A157,Matches!$A$2:$A$105,0)))</f>
        <v>Sweden</v>
      </c>
      <c r="C157" s="11">
        <v>0.7</v>
      </c>
    </row>
    <row r="158" spans="1:3">
      <c r="A158">
        <f t="shared" si="2"/>
        <v>79</v>
      </c>
      <c r="B158" t="str">
        <f>IF(ISEVEN(ROW()),INDEX(Matches!$D$2:$D$105,MATCH(A158,Matches!$A$2:$A$105,0)),INDEX(Matches!$E$2:$E$105,MATCH(A158,Matches!$A$2:$A$105,0)))</f>
        <v>Mexico</v>
      </c>
      <c r="C158" s="11">
        <v>1.05</v>
      </c>
    </row>
    <row r="159" spans="1:3">
      <c r="A159">
        <f t="shared" si="2"/>
        <v>79</v>
      </c>
      <c r="B159" t="str">
        <f>IF(ISEVEN(ROW()),INDEX(Matches!$D$2:$D$105,MATCH(A159,Matches!$A$2:$A$105,0)),INDEX(Matches!$E$2:$E$105,MATCH(A159,Matches!$A$2:$A$105,0)))</f>
        <v>Ecuador</v>
      </c>
      <c r="C159" s="11">
        <v>0.75</v>
      </c>
    </row>
    <row r="160" spans="1:3">
      <c r="A160">
        <f t="shared" si="2"/>
        <v>80</v>
      </c>
      <c r="B160" t="str">
        <f>IF(ISEVEN(ROW()),INDEX(Matches!$D$2:$D$105,MATCH(A160,Matches!$A$2:$A$105,0)),INDEX(Matches!$E$2:$E$105,MATCH(A160,Matches!$A$2:$A$105,0)))</f>
        <v>England</v>
      </c>
      <c r="C160" s="11">
        <v>2.16</v>
      </c>
    </row>
    <row r="161" spans="1:3">
      <c r="A161">
        <f t="shared" si="2"/>
        <v>80</v>
      </c>
      <c r="B161" t="str">
        <f>IF(ISEVEN(ROW()),INDEX(Matches!$D$2:$D$105,MATCH(A161,Matches!$A$2:$A$105,0)),INDEX(Matches!$E$2:$E$105,MATCH(A161,Matches!$A$2:$A$105,0)))</f>
        <v>Congo DR</v>
      </c>
      <c r="C161" s="11">
        <v>0.77</v>
      </c>
    </row>
    <row r="162" spans="1:3">
      <c r="A162">
        <f t="shared" si="2"/>
        <v>81</v>
      </c>
      <c r="B162" t="str">
        <f>IF(ISEVEN(ROW()),INDEX(Matches!$D$2:$D$105,MATCH(A162,Matches!$A$2:$A$105,0)),INDEX(Matches!$E$2:$E$105,MATCH(A162,Matches!$A$2:$A$105,0)))</f>
        <v>Belgium</v>
      </c>
      <c r="C162" s="11">
        <v>1.74</v>
      </c>
    </row>
    <row r="163" spans="1:3">
      <c r="A163">
        <f t="shared" si="2"/>
        <v>81</v>
      </c>
      <c r="B163" t="str">
        <f>IF(ISEVEN(ROW()),INDEX(Matches!$D$2:$D$105,MATCH(A163,Matches!$A$2:$A$105,0)),INDEX(Matches!$E$2:$E$105,MATCH(A163,Matches!$A$2:$A$105,0)))</f>
        <v>Senegal</v>
      </c>
      <c r="C163" s="11">
        <v>3.58</v>
      </c>
    </row>
    <row r="164" spans="1:3">
      <c r="A164">
        <f t="shared" si="2"/>
        <v>82</v>
      </c>
      <c r="B164" t="str">
        <f>IF(ISEVEN(ROW()),INDEX(Matches!$D$2:$D$105,MATCH(A164,Matches!$A$2:$A$105,0)),INDEX(Matches!$E$2:$E$105,MATCH(A164,Matches!$A$2:$A$105,0)))</f>
        <v>USA</v>
      </c>
      <c r="C164" s="11">
        <v>0.88</v>
      </c>
    </row>
    <row r="165" spans="1:3">
      <c r="A165">
        <f t="shared" si="2"/>
        <v>82</v>
      </c>
      <c r="B165" t="str">
        <f>IF(ISEVEN(ROW()),INDEX(Matches!$D$2:$D$105,MATCH(A165,Matches!$A$2:$A$105,0)),INDEX(Matches!$E$2:$E$105,MATCH(A165,Matches!$A$2:$A$105,0)))</f>
        <v>Bosnia and Herzegovina</v>
      </c>
      <c r="C165" s="11">
        <v>0.25</v>
      </c>
    </row>
    <row r="166" spans="1:3">
      <c r="A166">
        <f t="shared" si="2"/>
        <v>83</v>
      </c>
      <c r="B166" t="str">
        <f>IF(ISEVEN(ROW()),INDEX(Matches!$D$2:$D$105,MATCH(A166,Matches!$A$2:$A$105,0)),INDEX(Matches!$E$2:$E$105,MATCH(A166,Matches!$A$2:$A$105,0)))</f>
        <v>Spain</v>
      </c>
      <c r="C166" s="11">
        <v>2.8</v>
      </c>
    </row>
    <row r="167" spans="1:3">
      <c r="A167">
        <f t="shared" si="2"/>
        <v>83</v>
      </c>
      <c r="B167" t="str">
        <f>IF(ISEVEN(ROW()),INDEX(Matches!$D$2:$D$105,MATCH(A167,Matches!$A$2:$A$105,0)),INDEX(Matches!$E$2:$E$105,MATCH(A167,Matches!$A$2:$A$105,0)))</f>
        <v>Austria</v>
      </c>
      <c r="C167" s="11">
        <v>0.32</v>
      </c>
    </row>
    <row r="168" spans="1:3">
      <c r="A168">
        <f t="shared" si="2"/>
        <v>84</v>
      </c>
      <c r="B168" t="str">
        <f>IF(ISEVEN(ROW()),INDEX(Matches!$D$2:$D$105,MATCH(A168,Matches!$A$2:$A$105,0)),INDEX(Matches!$E$2:$E$105,MATCH(A168,Matches!$A$2:$A$105,0)))</f>
        <v>Portugal</v>
      </c>
      <c r="C168" s="11">
        <v>2.2000000000000002</v>
      </c>
    </row>
    <row r="169" spans="1:3">
      <c r="A169">
        <f t="shared" si="2"/>
        <v>84</v>
      </c>
      <c r="B169" t="str">
        <f>IF(ISEVEN(ROW()),INDEX(Matches!$D$2:$D$105,MATCH(A169,Matches!$A$2:$A$105,0)),INDEX(Matches!$E$2:$E$105,MATCH(A169,Matches!$A$2:$A$105,0)))</f>
        <v>Croatia</v>
      </c>
      <c r="C169" s="11">
        <v>1.34</v>
      </c>
    </row>
    <row r="170" spans="1:3">
      <c r="A170">
        <f t="shared" si="2"/>
        <v>85</v>
      </c>
      <c r="B170" t="str">
        <f>IF(ISEVEN(ROW()),INDEX(Matches!$D$2:$D$105,MATCH(A170,Matches!$A$2:$A$105,0)),INDEX(Matches!$E$2:$E$105,MATCH(A170,Matches!$A$2:$A$105,0)))</f>
        <v>Switzerland</v>
      </c>
      <c r="C170" s="11">
        <v>2.52</v>
      </c>
    </row>
    <row r="171" spans="1:3">
      <c r="A171">
        <f t="shared" si="2"/>
        <v>85</v>
      </c>
      <c r="B171" t="str">
        <f>IF(ISEVEN(ROW()),INDEX(Matches!$D$2:$D$105,MATCH(A171,Matches!$A$2:$A$105,0)),INDEX(Matches!$E$2:$E$105,MATCH(A171,Matches!$A$2:$A$105,0)))</f>
        <v>Algeria</v>
      </c>
      <c r="C171" s="11">
        <v>0.73</v>
      </c>
    </row>
    <row r="172" spans="1:3">
      <c r="A172">
        <f t="shared" si="2"/>
        <v>86</v>
      </c>
      <c r="B172" t="str">
        <f>IF(ISEVEN(ROW()),INDEX(Matches!$D$2:$D$105,MATCH(A172,Matches!$A$2:$A$105,0)),INDEX(Matches!$E$2:$E$105,MATCH(A172,Matches!$A$2:$A$105,0)))</f>
        <v>Australia</v>
      </c>
      <c r="C172" s="11">
        <v>0.84</v>
      </c>
    </row>
    <row r="173" spans="1:3">
      <c r="A173">
        <f t="shared" si="2"/>
        <v>86</v>
      </c>
      <c r="B173" t="str">
        <f>IF(ISEVEN(ROW()),INDEX(Matches!$D$2:$D$105,MATCH(A173,Matches!$A$2:$A$105,0)),INDEX(Matches!$E$2:$E$105,MATCH(A173,Matches!$A$2:$A$105,0)))</f>
        <v>Egypt</v>
      </c>
      <c r="C173" s="11">
        <v>1.32</v>
      </c>
    </row>
    <row r="174" spans="1:3">
      <c r="A174">
        <f t="shared" si="2"/>
        <v>87</v>
      </c>
      <c r="B174" t="str">
        <f>IF(ISEVEN(ROW()),INDEX(Matches!$D$2:$D$105,MATCH(A174,Matches!$A$2:$A$105,0)),INDEX(Matches!$E$2:$E$105,MATCH(A174,Matches!$A$2:$A$105,0)))</f>
        <v>Argentina</v>
      </c>
      <c r="C174" s="11">
        <v>2.2599999999999998</v>
      </c>
    </row>
    <row r="175" spans="1:3">
      <c r="A175">
        <f t="shared" si="2"/>
        <v>87</v>
      </c>
      <c r="B175" t="str">
        <f>IF(ISEVEN(ROW()),INDEX(Matches!$D$2:$D$105,MATCH(A175,Matches!$A$2:$A$105,0)),INDEX(Matches!$E$2:$E$105,MATCH(A175,Matches!$A$2:$A$105,0)))</f>
        <v>Cabo Verde</v>
      </c>
      <c r="C175" s="11">
        <v>0.47</v>
      </c>
    </row>
    <row r="176" spans="1:3">
      <c r="A176">
        <f t="shared" si="2"/>
        <v>88</v>
      </c>
      <c r="B176" t="str">
        <f>IF(ISEVEN(ROW()),INDEX(Matches!$D$2:$D$105,MATCH(A176,Matches!$A$2:$A$105,0)),INDEX(Matches!$E$2:$E$105,MATCH(A176,Matches!$A$2:$A$105,0)))</f>
        <v>Colombia</v>
      </c>
      <c r="C176" s="11">
        <v>2.04</v>
      </c>
    </row>
    <row r="177" spans="1:3">
      <c r="A177">
        <f t="shared" si="2"/>
        <v>88</v>
      </c>
      <c r="B177" t="str">
        <f>IF(ISEVEN(ROW()),INDEX(Matches!$D$2:$D$105,MATCH(A177,Matches!$A$2:$A$105,0)),INDEX(Matches!$E$2:$E$105,MATCH(A177,Matches!$A$2:$A$105,0)))</f>
        <v>Ghana</v>
      </c>
      <c r="C177" s="11">
        <v>0.27</v>
      </c>
    </row>
    <row r="178" spans="1:3">
      <c r="A178">
        <f t="shared" si="2"/>
        <v>89</v>
      </c>
      <c r="B178" t="str">
        <f>IF(ISEVEN(ROW()),INDEX(Matches!$D$2:$D$105,MATCH(A178,Matches!$A$2:$A$105,0)),INDEX(Matches!$E$2:$E$105,MATCH(A178,Matches!$A$2:$A$105,0)))</f>
        <v>Canada</v>
      </c>
      <c r="C178" s="11">
        <v>0.84</v>
      </c>
    </row>
    <row r="179" spans="1:3">
      <c r="A179">
        <f t="shared" si="2"/>
        <v>89</v>
      </c>
      <c r="B179" t="str">
        <f>IF(ISEVEN(ROW()),INDEX(Matches!$D$2:$D$105,MATCH(A179,Matches!$A$2:$A$105,0)),INDEX(Matches!$E$2:$E$105,MATCH(A179,Matches!$A$2:$A$105,0)))</f>
        <v>Morocco</v>
      </c>
      <c r="C179" s="11">
        <v>0.82</v>
      </c>
    </row>
    <row r="180" spans="1:3">
      <c r="A180">
        <f t="shared" si="2"/>
        <v>90</v>
      </c>
      <c r="B180" t="str">
        <f>IF(ISEVEN(ROW()),INDEX(Matches!$D$2:$D$105,MATCH(A180,Matches!$A$2:$A$105,0)),INDEX(Matches!$E$2:$E$105,MATCH(A180,Matches!$A$2:$A$105,0)))</f>
        <v>Paraguay</v>
      </c>
      <c r="C180" s="11">
        <v>0.13</v>
      </c>
    </row>
    <row r="181" spans="1:3">
      <c r="A181">
        <f t="shared" si="2"/>
        <v>90</v>
      </c>
      <c r="B181" t="str">
        <f>IF(ISEVEN(ROW()),INDEX(Matches!$D$2:$D$105,MATCH(A181,Matches!$A$2:$A$105,0)),INDEX(Matches!$E$2:$E$105,MATCH(A181,Matches!$A$2:$A$105,0)))</f>
        <v>France</v>
      </c>
      <c r="C181" s="11">
        <v>1.45</v>
      </c>
    </row>
    <row r="182" spans="1:3">
      <c r="A182">
        <f t="shared" si="2"/>
        <v>91</v>
      </c>
      <c r="B182" t="str">
        <f>IF(ISEVEN(ROW()),INDEX(Matches!$D$2:$D$105,MATCH(A182,Matches!$A$2:$A$105,0)),INDEX(Matches!$E$2:$E$105,MATCH(A182,Matches!$A$2:$A$105,0)))</f>
        <v>Brazil</v>
      </c>
      <c r="C182" s="11">
        <v>2.61</v>
      </c>
    </row>
    <row r="183" spans="1:3">
      <c r="A183">
        <f t="shared" si="2"/>
        <v>91</v>
      </c>
      <c r="B183" t="str">
        <f>IF(ISEVEN(ROW()),INDEX(Matches!$D$2:$D$105,MATCH(A183,Matches!$A$2:$A$105,0)),INDEX(Matches!$E$2:$E$105,MATCH(A183,Matches!$A$2:$A$105,0)))</f>
        <v>Norway</v>
      </c>
      <c r="C183" s="11">
        <v>1.05</v>
      </c>
    </row>
    <row r="184" spans="1:3">
      <c r="A184">
        <f t="shared" si="2"/>
        <v>92</v>
      </c>
      <c r="B184" t="str">
        <f>IF(ISEVEN(ROW()),INDEX(Matches!$D$2:$D$105,MATCH(A184,Matches!$A$2:$A$105,0)),INDEX(Matches!$E$2:$E$105,MATCH(A184,Matches!$A$2:$A$105,0)))</f>
        <v>Mexico</v>
      </c>
      <c r="C184" s="11">
        <v>1.88</v>
      </c>
    </row>
    <row r="185" spans="1:3">
      <c r="A185">
        <f t="shared" si="2"/>
        <v>92</v>
      </c>
      <c r="B185" t="str">
        <f>IF(ISEVEN(ROW()),INDEX(Matches!$D$2:$D$105,MATCH(A185,Matches!$A$2:$A$105,0)),INDEX(Matches!$E$2:$E$105,MATCH(A185,Matches!$A$2:$A$105,0)))</f>
        <v>England</v>
      </c>
      <c r="C185" s="11">
        <v>1.61</v>
      </c>
    </row>
    <row r="186" spans="1:3">
      <c r="A186">
        <f t="shared" si="2"/>
        <v>93</v>
      </c>
      <c r="B186" t="str">
        <f>IF(ISEVEN(ROW()),INDEX(Matches!$D$2:$D$105,MATCH(A186,Matches!$A$2:$A$105,0)),INDEX(Matches!$E$2:$E$105,MATCH(A186,Matches!$A$2:$A$105,0)))</f>
        <v>Portugal</v>
      </c>
      <c r="C186" s="11">
        <v>0.63</v>
      </c>
    </row>
    <row r="187" spans="1:3">
      <c r="A187">
        <f t="shared" si="2"/>
        <v>93</v>
      </c>
      <c r="B187" t="str">
        <f>IF(ISEVEN(ROW()),INDEX(Matches!$D$2:$D$105,MATCH(A187,Matches!$A$2:$A$105,0)),INDEX(Matches!$E$2:$E$105,MATCH(A187,Matches!$A$2:$A$105,0)))</f>
        <v>Spain</v>
      </c>
      <c r="C187" s="11">
        <v>1.69</v>
      </c>
    </row>
    <row r="188" spans="1:3">
      <c r="A188">
        <f t="shared" si="2"/>
        <v>94</v>
      </c>
      <c r="B188" t="str">
        <f>IF(ISEVEN(ROW()),INDEX(Matches!$D$2:$D$105,MATCH(A188,Matches!$A$2:$A$105,0)),INDEX(Matches!$E$2:$E$105,MATCH(A188,Matches!$A$2:$A$105,0)))</f>
        <v>USA</v>
      </c>
      <c r="C188" s="11">
        <v>0.63</v>
      </c>
    </row>
    <row r="189" spans="1:3">
      <c r="A189">
        <f t="shared" si="2"/>
        <v>94</v>
      </c>
      <c r="B189" t="str">
        <f>IF(ISEVEN(ROW()),INDEX(Matches!$D$2:$D$105,MATCH(A189,Matches!$A$2:$A$105,0)),INDEX(Matches!$E$2:$E$105,MATCH(A189,Matches!$A$2:$A$105,0)))</f>
        <v>Belgium</v>
      </c>
      <c r="C189" s="11">
        <v>2.0099999999999998</v>
      </c>
    </row>
    <row r="190" spans="1:3">
      <c r="A190">
        <f t="shared" si="2"/>
        <v>95</v>
      </c>
      <c r="B190" t="str">
        <f>IF(ISEVEN(ROW()),INDEX(Matches!$D$2:$D$105,MATCH(A190,Matches!$A$2:$A$105,0)),INDEX(Matches!$E$2:$E$105,MATCH(A190,Matches!$A$2:$A$105,0)))</f>
        <v>Argentina</v>
      </c>
      <c r="C190" s="11">
        <v>2.84</v>
      </c>
    </row>
    <row r="191" spans="1:3">
      <c r="A191">
        <f t="shared" si="2"/>
        <v>95</v>
      </c>
      <c r="B191" t="str">
        <f>IF(ISEVEN(ROW()),INDEX(Matches!$D$2:$D$105,MATCH(A191,Matches!$A$2:$A$105,0)),INDEX(Matches!$E$2:$E$105,MATCH(A191,Matches!$A$2:$A$105,0)))</f>
        <v>Egypt</v>
      </c>
      <c r="C191" s="11">
        <v>0.89</v>
      </c>
    </row>
    <row r="192" spans="1:3">
      <c r="A192">
        <f t="shared" si="2"/>
        <v>96</v>
      </c>
      <c r="B192" t="str">
        <f>IF(ISEVEN(ROW()),INDEX(Matches!$D$2:$D$105,MATCH(A192,Matches!$A$2:$A$105,0)),INDEX(Matches!$E$2:$E$105,MATCH(A192,Matches!$A$2:$A$105,0)))</f>
        <v>Switzerland</v>
      </c>
      <c r="C192" s="11">
        <v>0.39</v>
      </c>
    </row>
    <row r="193" spans="1:3">
      <c r="A193">
        <f t="shared" si="2"/>
        <v>96</v>
      </c>
      <c r="B193" t="str">
        <f>IF(ISEVEN(ROW()),INDEX(Matches!$D$2:$D$105,MATCH(A193,Matches!$A$2:$A$105,0)),INDEX(Matches!$E$2:$E$105,MATCH(A193,Matches!$A$2:$A$105,0)))</f>
        <v>Colombia</v>
      </c>
      <c r="C193" s="11">
        <v>1.0900000000000001</v>
      </c>
    </row>
    <row r="194" spans="1:3">
      <c r="A194">
        <f t="shared" si="2"/>
        <v>97</v>
      </c>
      <c r="B194" t="str">
        <f>IF(ISEVEN(ROW()),INDEX(Matches!$D$2:$D$105,MATCH(A194,Matches!$A$2:$A$105,0)),INDEX(Matches!$E$2:$E$105,MATCH(A194,Matches!$A$2:$A$105,0)))</f>
        <v>France</v>
      </c>
      <c r="C194" s="11">
        <v>3.69</v>
      </c>
    </row>
    <row r="195" spans="1:3">
      <c r="A195">
        <f t="shared" ref="A195:A209" si="3">INT((ROW()-2)/2)+1</f>
        <v>97</v>
      </c>
      <c r="B195" t="str">
        <f>IF(ISEVEN(ROW()),INDEX(Matches!$D$2:$D$105,MATCH(A195,Matches!$A$2:$A$105,0)),INDEX(Matches!$E$2:$E$105,MATCH(A195,Matches!$A$2:$A$105,0)))</f>
        <v>Morocco</v>
      </c>
      <c r="C195" s="11">
        <v>0.14000000000000001</v>
      </c>
    </row>
    <row r="196" spans="1:3">
      <c r="A196">
        <f t="shared" si="3"/>
        <v>98</v>
      </c>
      <c r="B196" t="str">
        <f>IF(ISEVEN(ROW()),INDEX(Matches!$D$2:$D$105,MATCH(A196,Matches!$A$2:$A$105,0)),INDEX(Matches!$E$2:$E$105,MATCH(A196,Matches!$A$2:$A$105,0)))</f>
        <v>Spain</v>
      </c>
      <c r="C196" s="11">
        <v>2.1</v>
      </c>
    </row>
    <row r="197" spans="1:3">
      <c r="A197">
        <f t="shared" si="3"/>
        <v>98</v>
      </c>
      <c r="B197" t="str">
        <f>IF(ISEVEN(ROW()),INDEX(Matches!$D$2:$D$105,MATCH(A197,Matches!$A$2:$A$105,0)),INDEX(Matches!$E$2:$E$105,MATCH(A197,Matches!$A$2:$A$105,0)))</f>
        <v>Belgium</v>
      </c>
      <c r="C197" s="11">
        <v>0.37</v>
      </c>
    </row>
    <row r="198" spans="1:3">
      <c r="A198">
        <f t="shared" si="3"/>
        <v>99</v>
      </c>
      <c r="B198" t="str">
        <f>IF(ISEVEN(ROW()),INDEX(Matches!$D$2:$D$105,MATCH(A198,Matches!$A$2:$A$105,0)),INDEX(Matches!$E$2:$E$105,MATCH(A198,Matches!$A$2:$A$105,0)))</f>
        <v>Norway</v>
      </c>
      <c r="C198" s="11">
        <v>0.68</v>
      </c>
    </row>
    <row r="199" spans="1:3">
      <c r="A199">
        <f t="shared" si="3"/>
        <v>99</v>
      </c>
      <c r="B199" t="str">
        <f>IF(ISEVEN(ROW()),INDEX(Matches!$D$2:$D$105,MATCH(A199,Matches!$A$2:$A$105,0)),INDEX(Matches!$E$2:$E$105,MATCH(A199,Matches!$A$2:$A$105,0)))</f>
        <v>England</v>
      </c>
      <c r="C199" s="11">
        <v>1.04</v>
      </c>
    </row>
    <row r="200" spans="1:3">
      <c r="A200">
        <f t="shared" si="3"/>
        <v>100</v>
      </c>
      <c r="B200" t="str">
        <f>IF(ISEVEN(ROW()),INDEX(Matches!$D$2:$D$105,MATCH(A200,Matches!$A$2:$A$105,0)),INDEX(Matches!$E$2:$E$105,MATCH(A200,Matches!$A$2:$A$105,0)))</f>
        <v>Argentina</v>
      </c>
      <c r="C200" s="11">
        <v>1.94</v>
      </c>
    </row>
    <row r="201" spans="1:3">
      <c r="A201">
        <f t="shared" si="3"/>
        <v>100</v>
      </c>
      <c r="B201" t="str">
        <f>IF(ISEVEN(ROW()),INDEX(Matches!$D$2:$D$105,MATCH(A201,Matches!$A$2:$A$105,0)),INDEX(Matches!$E$2:$E$105,MATCH(A201,Matches!$A$2:$A$105,0)))</f>
        <v>Switzerland</v>
      </c>
      <c r="C201" s="11">
        <v>0.47</v>
      </c>
    </row>
    <row r="202" spans="1:3">
      <c r="A202">
        <f t="shared" si="3"/>
        <v>101</v>
      </c>
      <c r="B202" t="str">
        <f>IF(ISEVEN(ROW()),INDEX(Matches!$D$2:$D$105,MATCH(A202,Matches!$A$2:$A$105,0)),INDEX(Matches!$E$2:$E$105,MATCH(A202,Matches!$A$2:$A$105,0)))</f>
        <v>France</v>
      </c>
      <c r="C202" s="11">
        <v>0.3</v>
      </c>
    </row>
    <row r="203" spans="1:3">
      <c r="A203">
        <f t="shared" si="3"/>
        <v>101</v>
      </c>
      <c r="B203" t="str">
        <f>IF(ISEVEN(ROW()),INDEX(Matches!$D$2:$D$105,MATCH(A203,Matches!$A$2:$A$105,0)),INDEX(Matches!$E$2:$E$105,MATCH(A203,Matches!$A$2:$A$105,0)))</f>
        <v>Spain</v>
      </c>
      <c r="C203" s="11">
        <v>1.63</v>
      </c>
    </row>
    <row r="204" spans="1:3">
      <c r="A204">
        <f t="shared" si="3"/>
        <v>102</v>
      </c>
      <c r="B204" t="str">
        <f>IF(ISEVEN(ROW()),INDEX(Matches!$D$2:$D$105,MATCH(A204,Matches!$A$2:$A$105,0)),INDEX(Matches!$E$2:$E$105,MATCH(A204,Matches!$A$2:$A$105,0)))</f>
        <v>England</v>
      </c>
      <c r="C204" s="11">
        <v>0.53</v>
      </c>
    </row>
    <row r="205" spans="1:3">
      <c r="A205">
        <f t="shared" si="3"/>
        <v>102</v>
      </c>
      <c r="B205" t="str">
        <f>IF(ISEVEN(ROW()),INDEX(Matches!$D$2:$D$105,MATCH(A205,Matches!$A$2:$A$105,0)),INDEX(Matches!$E$2:$E$105,MATCH(A205,Matches!$A$2:$A$105,0)))</f>
        <v>Argentina</v>
      </c>
      <c r="C205" s="11">
        <v>1.84</v>
      </c>
    </row>
    <row r="206" spans="1:3">
      <c r="A206">
        <f t="shared" si="3"/>
        <v>103</v>
      </c>
      <c r="B206" t="str">
        <f>IF(ISEVEN(ROW()),INDEX(Matches!$D$2:$D$105,MATCH(A206,Matches!$A$2:$A$105,0)),INDEX(Matches!$E$2:$E$105,MATCH(A206,Matches!$A$2:$A$105,0)))</f>
        <v>France</v>
      </c>
    </row>
    <row r="207" spans="1:3">
      <c r="A207">
        <f t="shared" si="3"/>
        <v>103</v>
      </c>
      <c r="B207" t="str">
        <f>IF(ISEVEN(ROW()),INDEX(Matches!$D$2:$D$105,MATCH(A207,Matches!$A$2:$A$105,0)),INDEX(Matches!$E$2:$E$105,MATCH(A207,Matches!$A$2:$A$105,0)))</f>
        <v>England</v>
      </c>
    </row>
    <row r="208" spans="1:3">
      <c r="A208">
        <f t="shared" si="3"/>
        <v>104</v>
      </c>
      <c r="B208" t="str">
        <f>IF(ISEVEN(ROW()),INDEX(Matches!$D$2:$D$105,MATCH(A208,Matches!$A$2:$A$105,0)),INDEX(Matches!$E$2:$E$105,MATCH(A208,Matches!$A$2:$A$105,0)))</f>
        <v>Spain</v>
      </c>
      <c r="C208" s="11">
        <v>2.29</v>
      </c>
    </row>
    <row r="209" spans="1:3">
      <c r="A209">
        <f t="shared" si="3"/>
        <v>104</v>
      </c>
      <c r="B209" t="str">
        <f>IF(ISEVEN(ROW()),INDEX(Matches!$D$2:$D$105,MATCH(A209,Matches!$A$2:$A$105,0)),INDEX(Matches!$E$2:$E$105,MATCH(A209,Matches!$A$2:$A$105,0)))</f>
        <v>Argentina</v>
      </c>
      <c r="C209" s="11">
        <v>0.22</v>
      </c>
    </row>
  </sheetData>
  <autoFilter ref="A1:C209" xr:uid="{70301859-4B36-2148-ABEB-4A9CF467426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F952-CB93-964D-B771-FE5F23B91798}">
  <dimension ref="A1:D33"/>
  <sheetViews>
    <sheetView workbookViewId="0">
      <selection activeCell="B1" sqref="B1"/>
    </sheetView>
  </sheetViews>
  <sheetFormatPr baseColWidth="10" defaultRowHeight="16"/>
  <cols>
    <col min="1" max="1" width="36.5" customWidth="1"/>
    <col min="2" max="2" width="10.83203125" style="11"/>
    <col min="4" max="4" width="14.83203125" customWidth="1"/>
  </cols>
  <sheetData>
    <row r="1" spans="1:4">
      <c r="A1" s="17" t="s">
        <v>316</v>
      </c>
      <c r="B1" s="18" t="s">
        <v>317</v>
      </c>
      <c r="D1" t="s">
        <v>345</v>
      </c>
    </row>
    <row r="2" spans="1:4">
      <c r="D2" s="6">
        <v>15</v>
      </c>
    </row>
    <row r="3" spans="1:4" ht="18">
      <c r="A3" s="12" t="s">
        <v>318</v>
      </c>
      <c r="B3" s="11">
        <f>SUM(D2:D33)/128</f>
        <v>1.328125</v>
      </c>
      <c r="D3" s="6">
        <v>3</v>
      </c>
    </row>
    <row r="4" spans="1:4">
      <c r="D4" s="6">
        <v>1</v>
      </c>
    </row>
    <row r="5" spans="1:4">
      <c r="D5" s="6">
        <v>8</v>
      </c>
    </row>
    <row r="6" spans="1:4">
      <c r="D6" s="6">
        <v>4</v>
      </c>
    </row>
    <row r="7" spans="1:4">
      <c r="D7" s="6">
        <v>1</v>
      </c>
    </row>
    <row r="8" spans="1:4">
      <c r="D8" s="6">
        <v>3</v>
      </c>
    </row>
    <row r="9" spans="1:4">
      <c r="D9" s="6">
        <v>8</v>
      </c>
    </row>
    <row r="10" spans="1:4">
      <c r="D10" s="6">
        <v>1</v>
      </c>
    </row>
    <row r="11" spans="1:4">
      <c r="D11" s="6">
        <v>4</v>
      </c>
    </row>
    <row r="12" spans="1:4">
      <c r="D12" s="6">
        <v>13</v>
      </c>
    </row>
    <row r="13" spans="1:4">
      <c r="D13" s="6">
        <v>16</v>
      </c>
    </row>
    <row r="14" spans="1:4">
      <c r="D14" s="6">
        <v>6</v>
      </c>
    </row>
    <row r="15" spans="1:4">
      <c r="D15" s="6">
        <v>5</v>
      </c>
    </row>
    <row r="16" spans="1:4">
      <c r="D16" s="6">
        <v>4</v>
      </c>
    </row>
    <row r="17" spans="4:4">
      <c r="D17" s="6">
        <v>5</v>
      </c>
    </row>
    <row r="18" spans="4:4">
      <c r="D18" s="6">
        <v>5</v>
      </c>
    </row>
    <row r="19" spans="4:4">
      <c r="D19" s="6">
        <v>2</v>
      </c>
    </row>
    <row r="20" spans="4:4">
      <c r="D20" s="6">
        <v>6</v>
      </c>
    </row>
    <row r="21" spans="4:4">
      <c r="D21" s="6">
        <v>10</v>
      </c>
    </row>
    <row r="22" spans="4:4">
      <c r="D22" s="6">
        <v>3</v>
      </c>
    </row>
    <row r="23" spans="4:4">
      <c r="D23" s="6">
        <v>12</v>
      </c>
    </row>
    <row r="24" spans="4:4">
      <c r="D24" s="6">
        <v>1</v>
      </c>
    </row>
    <row r="25" spans="4:4">
      <c r="D25" s="6">
        <v>3</v>
      </c>
    </row>
    <row r="26" spans="4:4">
      <c r="D26" s="6">
        <v>5</v>
      </c>
    </row>
    <row r="27" spans="4:4">
      <c r="D27" s="6">
        <v>5</v>
      </c>
    </row>
    <row r="28" spans="4:4">
      <c r="D28" s="6">
        <v>9</v>
      </c>
    </row>
    <row r="29" spans="4:4">
      <c r="D29" s="6">
        <v>5</v>
      </c>
    </row>
    <row r="30" spans="4:4">
      <c r="D30" s="6">
        <v>1</v>
      </c>
    </row>
    <row r="31" spans="4:4">
      <c r="D31" s="6">
        <v>2</v>
      </c>
    </row>
    <row r="32" spans="4:4">
      <c r="D32" s="6">
        <v>3</v>
      </c>
    </row>
    <row r="33" spans="4:4">
      <c r="D33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6D21-38DA-4245-8378-F6A8BACF6960}">
  <dimension ref="A1:E105"/>
  <sheetViews>
    <sheetView tabSelected="1" topLeftCell="C1" workbookViewId="0">
      <selection activeCell="E7" sqref="E7"/>
    </sheetView>
  </sheetViews>
  <sheetFormatPr baseColWidth="10" defaultRowHeight="16"/>
  <cols>
    <col min="2" max="2" width="19.6640625" customWidth="1"/>
  </cols>
  <sheetData>
    <row r="1" spans="1:4">
      <c r="A1" t="s">
        <v>346</v>
      </c>
      <c r="B1" t="s">
        <v>2</v>
      </c>
      <c r="C1" t="s">
        <v>9</v>
      </c>
      <c r="D1" t="s">
        <v>10</v>
      </c>
    </row>
    <row r="2" spans="1:4">
      <c r="A2">
        <v>1</v>
      </c>
      <c r="B2" t="s">
        <v>108</v>
      </c>
      <c r="C2" t="s">
        <v>347</v>
      </c>
      <c r="D2" t="s">
        <v>347</v>
      </c>
    </row>
    <row r="3" spans="1:4">
      <c r="A3">
        <v>2</v>
      </c>
      <c r="B3" t="s">
        <v>108</v>
      </c>
      <c r="C3" t="s">
        <v>348</v>
      </c>
      <c r="D3" t="s">
        <v>348</v>
      </c>
    </row>
    <row r="4" spans="1:4">
      <c r="A4">
        <v>3</v>
      </c>
      <c r="B4" t="s">
        <v>108</v>
      </c>
      <c r="C4" t="s">
        <v>347</v>
      </c>
      <c r="D4" t="s">
        <v>347</v>
      </c>
    </row>
    <row r="5" spans="1:4">
      <c r="A5">
        <v>4</v>
      </c>
      <c r="B5" t="s">
        <v>108</v>
      </c>
      <c r="C5" t="s">
        <v>348</v>
      </c>
      <c r="D5" t="s">
        <v>348</v>
      </c>
    </row>
    <row r="6" spans="1:4">
      <c r="A6">
        <v>5</v>
      </c>
      <c r="B6" t="s">
        <v>108</v>
      </c>
      <c r="C6" t="s">
        <v>347</v>
      </c>
      <c r="D6" t="s">
        <v>347</v>
      </c>
    </row>
    <row r="7" spans="1:4">
      <c r="A7">
        <v>6</v>
      </c>
      <c r="B7" t="s">
        <v>108</v>
      </c>
      <c r="C7" t="s">
        <v>348</v>
      </c>
      <c r="D7" t="s">
        <v>348</v>
      </c>
    </row>
    <row r="8" spans="1:4">
      <c r="A8">
        <v>7</v>
      </c>
      <c r="B8" t="s">
        <v>108</v>
      </c>
      <c r="C8" t="s">
        <v>348</v>
      </c>
      <c r="D8" t="s">
        <v>348</v>
      </c>
    </row>
    <row r="9" spans="1:4">
      <c r="A9">
        <v>8</v>
      </c>
      <c r="B9" t="s">
        <v>108</v>
      </c>
      <c r="C9" t="s">
        <v>348</v>
      </c>
      <c r="D9" t="s">
        <v>347</v>
      </c>
    </row>
    <row r="10" spans="1:4">
      <c r="A10">
        <v>9</v>
      </c>
      <c r="B10" t="s">
        <v>108</v>
      </c>
      <c r="C10" t="s">
        <v>348</v>
      </c>
      <c r="D10" t="s">
        <v>348</v>
      </c>
    </row>
    <row r="11" spans="1:4">
      <c r="A11">
        <v>10</v>
      </c>
      <c r="B11" t="s">
        <v>108</v>
      </c>
      <c r="C11" t="s">
        <v>348</v>
      </c>
      <c r="D11" t="s">
        <v>348</v>
      </c>
    </row>
    <row r="12" spans="1:4">
      <c r="A12">
        <v>11</v>
      </c>
      <c r="B12" t="s">
        <v>108</v>
      </c>
      <c r="C12" t="s">
        <v>348</v>
      </c>
      <c r="D12" t="s">
        <v>348</v>
      </c>
    </row>
    <row r="13" spans="1:4">
      <c r="A13">
        <v>12</v>
      </c>
      <c r="B13" t="s">
        <v>108</v>
      </c>
      <c r="C13" t="s">
        <v>348</v>
      </c>
      <c r="D13" t="s">
        <v>348</v>
      </c>
    </row>
    <row r="14" spans="1:4">
      <c r="A14">
        <v>13</v>
      </c>
      <c r="B14" t="s">
        <v>108</v>
      </c>
      <c r="C14" t="s">
        <v>348</v>
      </c>
      <c r="D14" t="s">
        <v>348</v>
      </c>
    </row>
    <row r="15" spans="1:4">
      <c r="A15">
        <v>14</v>
      </c>
      <c r="B15" t="s">
        <v>108</v>
      </c>
      <c r="C15" t="s">
        <v>348</v>
      </c>
      <c r="D15" t="s">
        <v>348</v>
      </c>
    </row>
    <row r="16" spans="1:4">
      <c r="A16">
        <v>15</v>
      </c>
      <c r="B16" t="s">
        <v>108</v>
      </c>
      <c r="C16" t="s">
        <v>348</v>
      </c>
      <c r="D16" t="s">
        <v>348</v>
      </c>
    </row>
    <row r="17" spans="1:5">
      <c r="A17">
        <v>16</v>
      </c>
      <c r="B17" t="s">
        <v>108</v>
      </c>
      <c r="C17" t="s">
        <v>348</v>
      </c>
      <c r="D17" t="s">
        <v>348</v>
      </c>
    </row>
    <row r="18" spans="1:5">
      <c r="A18">
        <v>17</v>
      </c>
      <c r="B18" t="s">
        <v>108</v>
      </c>
      <c r="C18" t="s">
        <v>348</v>
      </c>
      <c r="D18" t="s">
        <v>348</v>
      </c>
    </row>
    <row r="19" spans="1:5">
      <c r="A19">
        <v>18</v>
      </c>
      <c r="B19" t="s">
        <v>108</v>
      </c>
      <c r="C19" t="s">
        <v>348</v>
      </c>
      <c r="D19" t="s">
        <v>348</v>
      </c>
    </row>
    <row r="20" spans="1:5">
      <c r="A20">
        <v>19</v>
      </c>
      <c r="B20" t="s">
        <v>108</v>
      </c>
      <c r="C20" t="s">
        <v>347</v>
      </c>
      <c r="D20" t="s">
        <v>347</v>
      </c>
    </row>
    <row r="21" spans="1:5" ht="18">
      <c r="A21">
        <v>20</v>
      </c>
      <c r="B21" t="s">
        <v>108</v>
      </c>
      <c r="C21" t="s">
        <v>348</v>
      </c>
      <c r="D21" t="s">
        <v>348</v>
      </c>
      <c r="E21" s="12">
        <f>COUNTIF(C2:C105,"Test")</f>
        <v>21</v>
      </c>
    </row>
    <row r="22" spans="1:5">
      <c r="A22">
        <v>21</v>
      </c>
      <c r="B22" t="s">
        <v>108</v>
      </c>
      <c r="C22" t="s">
        <v>348</v>
      </c>
      <c r="D22" t="s">
        <v>348</v>
      </c>
    </row>
    <row r="23" spans="1:5">
      <c r="A23">
        <v>22</v>
      </c>
      <c r="B23" t="s">
        <v>108</v>
      </c>
      <c r="C23" t="s">
        <v>347</v>
      </c>
      <c r="D23" t="s">
        <v>347</v>
      </c>
    </row>
    <row r="24" spans="1:5" ht="18">
      <c r="A24">
        <v>23</v>
      </c>
      <c r="B24" t="s">
        <v>108</v>
      </c>
      <c r="C24" t="s">
        <v>348</v>
      </c>
      <c r="D24" t="s">
        <v>348</v>
      </c>
      <c r="E24" s="12">
        <f>COUNTIF(D2:D105,"Test")</f>
        <v>31</v>
      </c>
    </row>
    <row r="25" spans="1:5">
      <c r="A25">
        <v>24</v>
      </c>
      <c r="B25" t="s">
        <v>108</v>
      </c>
      <c r="C25" t="s">
        <v>348</v>
      </c>
      <c r="D25" t="s">
        <v>348</v>
      </c>
    </row>
    <row r="26" spans="1:5">
      <c r="A26">
        <v>25</v>
      </c>
      <c r="B26" t="s">
        <v>108</v>
      </c>
      <c r="C26" t="s">
        <v>347</v>
      </c>
      <c r="D26" t="s">
        <v>347</v>
      </c>
    </row>
    <row r="27" spans="1:5">
      <c r="A27">
        <v>26</v>
      </c>
      <c r="B27" t="s">
        <v>108</v>
      </c>
      <c r="C27" t="s">
        <v>347</v>
      </c>
      <c r="D27" t="s">
        <v>347</v>
      </c>
    </row>
    <row r="28" spans="1:5">
      <c r="A28">
        <v>27</v>
      </c>
      <c r="B28" t="s">
        <v>108</v>
      </c>
      <c r="C28" t="s">
        <v>348</v>
      </c>
      <c r="D28" t="s">
        <v>347</v>
      </c>
    </row>
    <row r="29" spans="1:5">
      <c r="A29">
        <v>28</v>
      </c>
      <c r="B29" t="s">
        <v>108</v>
      </c>
      <c r="C29" t="s">
        <v>347</v>
      </c>
      <c r="D29" t="s">
        <v>347</v>
      </c>
    </row>
    <row r="30" spans="1:5">
      <c r="A30">
        <v>29</v>
      </c>
      <c r="B30" t="s">
        <v>108</v>
      </c>
      <c r="C30" t="s">
        <v>347</v>
      </c>
      <c r="D30" t="s">
        <v>347</v>
      </c>
    </row>
    <row r="31" spans="1:5">
      <c r="A31">
        <v>30</v>
      </c>
      <c r="B31" t="s">
        <v>108</v>
      </c>
      <c r="C31" t="s">
        <v>348</v>
      </c>
      <c r="D31" t="s">
        <v>348</v>
      </c>
    </row>
    <row r="32" spans="1:5">
      <c r="A32">
        <v>31</v>
      </c>
      <c r="B32" t="s">
        <v>108</v>
      </c>
      <c r="C32" t="s">
        <v>348</v>
      </c>
      <c r="D32" t="s">
        <v>348</v>
      </c>
    </row>
    <row r="33" spans="1:4">
      <c r="A33">
        <v>32</v>
      </c>
      <c r="B33" t="s">
        <v>108</v>
      </c>
      <c r="C33" t="s">
        <v>348</v>
      </c>
      <c r="D33" t="s">
        <v>348</v>
      </c>
    </row>
    <row r="34" spans="1:4">
      <c r="A34">
        <v>33</v>
      </c>
      <c r="B34" t="s">
        <v>108</v>
      </c>
      <c r="C34" t="s">
        <v>348</v>
      </c>
      <c r="D34" t="s">
        <v>348</v>
      </c>
    </row>
    <row r="35" spans="1:4">
      <c r="A35">
        <v>34</v>
      </c>
      <c r="B35" t="s">
        <v>108</v>
      </c>
      <c r="C35" t="s">
        <v>347</v>
      </c>
      <c r="D35" t="s">
        <v>347</v>
      </c>
    </row>
    <row r="36" spans="1:4">
      <c r="A36">
        <v>35</v>
      </c>
      <c r="B36" t="s">
        <v>108</v>
      </c>
      <c r="C36" t="s">
        <v>348</v>
      </c>
      <c r="D36" t="s">
        <v>348</v>
      </c>
    </row>
    <row r="37" spans="1:4">
      <c r="A37">
        <v>36</v>
      </c>
      <c r="B37" t="s">
        <v>108</v>
      </c>
      <c r="C37" t="s">
        <v>348</v>
      </c>
      <c r="D37" t="s">
        <v>348</v>
      </c>
    </row>
    <row r="38" spans="1:4">
      <c r="A38">
        <v>37</v>
      </c>
      <c r="B38" t="s">
        <v>108</v>
      </c>
      <c r="C38" t="s">
        <v>348</v>
      </c>
      <c r="D38" t="s">
        <v>348</v>
      </c>
    </row>
    <row r="39" spans="1:4">
      <c r="A39">
        <v>38</v>
      </c>
      <c r="B39" t="s">
        <v>108</v>
      </c>
      <c r="C39" t="s">
        <v>348</v>
      </c>
      <c r="D39" t="s">
        <v>347</v>
      </c>
    </row>
    <row r="40" spans="1:4">
      <c r="A40">
        <v>39</v>
      </c>
      <c r="B40" t="s">
        <v>108</v>
      </c>
      <c r="C40" t="s">
        <v>348</v>
      </c>
      <c r="D40" t="s">
        <v>347</v>
      </c>
    </row>
    <row r="41" spans="1:4">
      <c r="A41">
        <v>40</v>
      </c>
      <c r="B41" t="s">
        <v>108</v>
      </c>
      <c r="C41" t="s">
        <v>348</v>
      </c>
      <c r="D41" t="s">
        <v>348</v>
      </c>
    </row>
    <row r="42" spans="1:4">
      <c r="A42">
        <v>41</v>
      </c>
      <c r="B42" t="s">
        <v>108</v>
      </c>
      <c r="C42" t="s">
        <v>348</v>
      </c>
      <c r="D42" t="s">
        <v>348</v>
      </c>
    </row>
    <row r="43" spans="1:4">
      <c r="A43">
        <v>42</v>
      </c>
      <c r="B43" t="s">
        <v>108</v>
      </c>
      <c r="C43" t="s">
        <v>348</v>
      </c>
      <c r="D43" t="s">
        <v>348</v>
      </c>
    </row>
    <row r="44" spans="1:4">
      <c r="A44">
        <v>43</v>
      </c>
      <c r="B44" t="s">
        <v>108</v>
      </c>
      <c r="C44" t="s">
        <v>348</v>
      </c>
      <c r="D44" t="s">
        <v>348</v>
      </c>
    </row>
    <row r="45" spans="1:4">
      <c r="A45">
        <v>44</v>
      </c>
      <c r="B45" t="s">
        <v>108</v>
      </c>
      <c r="C45" t="s">
        <v>348</v>
      </c>
      <c r="D45" t="s">
        <v>348</v>
      </c>
    </row>
    <row r="46" spans="1:4">
      <c r="A46">
        <v>45</v>
      </c>
      <c r="B46" t="s">
        <v>108</v>
      </c>
      <c r="C46" t="s">
        <v>348</v>
      </c>
      <c r="D46" t="s">
        <v>348</v>
      </c>
    </row>
    <row r="47" spans="1:4">
      <c r="A47">
        <v>46</v>
      </c>
      <c r="B47" t="s">
        <v>108</v>
      </c>
      <c r="C47" t="s">
        <v>347</v>
      </c>
      <c r="D47" t="s">
        <v>347</v>
      </c>
    </row>
    <row r="48" spans="1:4">
      <c r="A48">
        <v>47</v>
      </c>
      <c r="B48" t="s">
        <v>108</v>
      </c>
      <c r="C48" t="s">
        <v>348</v>
      </c>
      <c r="D48" t="s">
        <v>347</v>
      </c>
    </row>
    <row r="49" spans="1:4">
      <c r="A49">
        <v>48</v>
      </c>
      <c r="B49" t="s">
        <v>108</v>
      </c>
      <c r="C49" t="s">
        <v>348</v>
      </c>
      <c r="D49" t="s">
        <v>348</v>
      </c>
    </row>
    <row r="50" spans="1:4">
      <c r="A50">
        <v>49</v>
      </c>
      <c r="B50" t="s">
        <v>108</v>
      </c>
      <c r="C50" t="s">
        <v>348</v>
      </c>
      <c r="D50" t="s">
        <v>348</v>
      </c>
    </row>
    <row r="51" spans="1:4">
      <c r="A51">
        <v>50</v>
      </c>
      <c r="B51" t="s">
        <v>108</v>
      </c>
      <c r="C51" t="s">
        <v>348</v>
      </c>
      <c r="D51" t="s">
        <v>348</v>
      </c>
    </row>
    <row r="52" spans="1:4">
      <c r="A52">
        <v>51</v>
      </c>
      <c r="B52" t="s">
        <v>108</v>
      </c>
      <c r="C52" t="s">
        <v>348</v>
      </c>
      <c r="D52" t="s">
        <v>348</v>
      </c>
    </row>
    <row r="53" spans="1:4">
      <c r="A53">
        <v>52</v>
      </c>
      <c r="B53" t="s">
        <v>108</v>
      </c>
      <c r="C53" t="s">
        <v>348</v>
      </c>
      <c r="D53" t="s">
        <v>348</v>
      </c>
    </row>
    <row r="54" spans="1:4">
      <c r="A54">
        <v>53</v>
      </c>
      <c r="B54" t="s">
        <v>108</v>
      </c>
      <c r="C54" t="s">
        <v>348</v>
      </c>
      <c r="D54" t="s">
        <v>347</v>
      </c>
    </row>
    <row r="55" spans="1:4">
      <c r="A55">
        <v>54</v>
      </c>
      <c r="B55" t="s">
        <v>108</v>
      </c>
      <c r="C55" t="s">
        <v>348</v>
      </c>
      <c r="D55" t="s">
        <v>348</v>
      </c>
    </row>
    <row r="56" spans="1:4">
      <c r="A56">
        <v>55</v>
      </c>
      <c r="B56" t="s">
        <v>108</v>
      </c>
      <c r="C56" t="s">
        <v>348</v>
      </c>
      <c r="D56" t="s">
        <v>348</v>
      </c>
    </row>
    <row r="57" spans="1:4">
      <c r="A57">
        <v>56</v>
      </c>
      <c r="B57" t="s">
        <v>108</v>
      </c>
      <c r="C57" t="s">
        <v>347</v>
      </c>
      <c r="D57" t="s">
        <v>347</v>
      </c>
    </row>
    <row r="58" spans="1:4">
      <c r="A58">
        <v>57</v>
      </c>
      <c r="B58" t="s">
        <v>108</v>
      </c>
      <c r="C58" t="s">
        <v>347</v>
      </c>
      <c r="D58" t="s">
        <v>347</v>
      </c>
    </row>
    <row r="59" spans="1:4">
      <c r="A59">
        <v>58</v>
      </c>
      <c r="B59" t="s">
        <v>108</v>
      </c>
      <c r="C59" t="s">
        <v>348</v>
      </c>
      <c r="D59" t="s">
        <v>348</v>
      </c>
    </row>
    <row r="60" spans="1:4">
      <c r="A60">
        <v>59</v>
      </c>
      <c r="B60" t="s">
        <v>108</v>
      </c>
      <c r="C60" t="s">
        <v>348</v>
      </c>
      <c r="D60" t="s">
        <v>348</v>
      </c>
    </row>
    <row r="61" spans="1:4">
      <c r="A61">
        <v>60</v>
      </c>
      <c r="B61" t="s">
        <v>108</v>
      </c>
      <c r="C61" t="s">
        <v>348</v>
      </c>
      <c r="D61" t="s">
        <v>348</v>
      </c>
    </row>
    <row r="62" spans="1:4">
      <c r="A62">
        <v>61</v>
      </c>
      <c r="B62" t="s">
        <v>108</v>
      </c>
      <c r="C62" t="s">
        <v>348</v>
      </c>
      <c r="D62" t="s">
        <v>348</v>
      </c>
    </row>
    <row r="63" spans="1:4">
      <c r="A63">
        <v>62</v>
      </c>
      <c r="B63" t="s">
        <v>108</v>
      </c>
      <c r="C63" t="s">
        <v>348</v>
      </c>
      <c r="D63" t="s">
        <v>347</v>
      </c>
    </row>
    <row r="64" spans="1:4">
      <c r="A64">
        <v>63</v>
      </c>
      <c r="B64" t="s">
        <v>108</v>
      </c>
      <c r="C64" t="s">
        <v>348</v>
      </c>
      <c r="D64" t="s">
        <v>348</v>
      </c>
    </row>
    <row r="65" spans="1:4">
      <c r="A65">
        <v>64</v>
      </c>
      <c r="B65" t="s">
        <v>108</v>
      </c>
      <c r="C65" t="s">
        <v>348</v>
      </c>
      <c r="D65" t="s">
        <v>347</v>
      </c>
    </row>
    <row r="66" spans="1:4">
      <c r="A66">
        <v>65</v>
      </c>
      <c r="B66" t="s">
        <v>108</v>
      </c>
      <c r="C66" t="s">
        <v>348</v>
      </c>
      <c r="D66" t="s">
        <v>348</v>
      </c>
    </row>
    <row r="67" spans="1:4">
      <c r="A67">
        <v>66</v>
      </c>
      <c r="B67" t="s">
        <v>108</v>
      </c>
      <c r="C67" t="s">
        <v>348</v>
      </c>
      <c r="D67" t="s">
        <v>348</v>
      </c>
    </row>
    <row r="68" spans="1:4">
      <c r="A68">
        <v>67</v>
      </c>
      <c r="B68" t="s">
        <v>108</v>
      </c>
      <c r="C68" t="s">
        <v>348</v>
      </c>
      <c r="D68" t="s">
        <v>348</v>
      </c>
    </row>
    <row r="69" spans="1:4">
      <c r="A69">
        <v>68</v>
      </c>
      <c r="B69" t="s">
        <v>108</v>
      </c>
      <c r="C69" t="s">
        <v>348</v>
      </c>
      <c r="D69" t="s">
        <v>348</v>
      </c>
    </row>
    <row r="70" spans="1:4">
      <c r="A70">
        <v>69</v>
      </c>
      <c r="B70" t="s">
        <v>108</v>
      </c>
      <c r="C70" t="s">
        <v>347</v>
      </c>
      <c r="D70" t="s">
        <v>347</v>
      </c>
    </row>
    <row r="71" spans="1:4">
      <c r="A71">
        <v>70</v>
      </c>
      <c r="B71" t="s">
        <v>108</v>
      </c>
      <c r="C71" t="s">
        <v>348</v>
      </c>
      <c r="D71" t="s">
        <v>348</v>
      </c>
    </row>
    <row r="72" spans="1:4">
      <c r="A72">
        <v>71</v>
      </c>
      <c r="B72" t="s">
        <v>108</v>
      </c>
      <c r="C72" t="s">
        <v>348</v>
      </c>
      <c r="D72" t="s">
        <v>348</v>
      </c>
    </row>
    <row r="73" spans="1:4">
      <c r="A73">
        <v>72</v>
      </c>
      <c r="B73" t="s">
        <v>108</v>
      </c>
      <c r="C73" t="s">
        <v>348</v>
      </c>
      <c r="D73" t="s">
        <v>348</v>
      </c>
    </row>
    <row r="74" spans="1:4">
      <c r="A74">
        <v>73</v>
      </c>
      <c r="B74" t="s">
        <v>109</v>
      </c>
      <c r="C74" t="s">
        <v>348</v>
      </c>
      <c r="D74" t="s">
        <v>348</v>
      </c>
    </row>
    <row r="75" spans="1:4">
      <c r="A75">
        <v>74</v>
      </c>
      <c r="B75" t="s">
        <v>109</v>
      </c>
      <c r="C75" t="s">
        <v>347</v>
      </c>
      <c r="D75" t="s">
        <v>347</v>
      </c>
    </row>
    <row r="76" spans="1:4">
      <c r="A76">
        <v>75</v>
      </c>
      <c r="B76" t="s">
        <v>109</v>
      </c>
      <c r="C76" t="s">
        <v>348</v>
      </c>
      <c r="D76" t="s">
        <v>348</v>
      </c>
    </row>
    <row r="77" spans="1:4">
      <c r="A77">
        <v>76</v>
      </c>
      <c r="B77" t="s">
        <v>109</v>
      </c>
      <c r="C77" t="s">
        <v>348</v>
      </c>
      <c r="D77" t="s">
        <v>348</v>
      </c>
    </row>
    <row r="78" spans="1:4">
      <c r="A78">
        <v>77</v>
      </c>
      <c r="B78" t="s">
        <v>109</v>
      </c>
      <c r="C78" t="s">
        <v>348</v>
      </c>
      <c r="D78" t="s">
        <v>348</v>
      </c>
    </row>
    <row r="79" spans="1:4">
      <c r="A79">
        <v>78</v>
      </c>
      <c r="B79" t="s">
        <v>109</v>
      </c>
      <c r="C79" t="s">
        <v>348</v>
      </c>
      <c r="D79" t="s">
        <v>348</v>
      </c>
    </row>
    <row r="80" spans="1:4">
      <c r="A80">
        <v>79</v>
      </c>
      <c r="B80" t="s">
        <v>109</v>
      </c>
      <c r="C80" t="s">
        <v>348</v>
      </c>
      <c r="D80" t="s">
        <v>348</v>
      </c>
    </row>
    <row r="81" spans="1:4">
      <c r="A81">
        <v>80</v>
      </c>
      <c r="B81" t="s">
        <v>109</v>
      </c>
      <c r="C81" t="s">
        <v>348</v>
      </c>
      <c r="D81" t="s">
        <v>348</v>
      </c>
    </row>
    <row r="82" spans="1:4">
      <c r="A82">
        <v>81</v>
      </c>
      <c r="B82" t="s">
        <v>109</v>
      </c>
      <c r="C82" t="s">
        <v>348</v>
      </c>
      <c r="D82" t="s">
        <v>348</v>
      </c>
    </row>
    <row r="83" spans="1:4">
      <c r="A83">
        <v>82</v>
      </c>
      <c r="B83" t="s">
        <v>109</v>
      </c>
      <c r="C83" t="s">
        <v>348</v>
      </c>
      <c r="D83" t="s">
        <v>347</v>
      </c>
    </row>
    <row r="84" spans="1:4">
      <c r="A84">
        <v>83</v>
      </c>
      <c r="B84" t="s">
        <v>109</v>
      </c>
      <c r="C84" t="s">
        <v>347</v>
      </c>
      <c r="D84" t="s">
        <v>347</v>
      </c>
    </row>
    <row r="85" spans="1:4">
      <c r="A85">
        <v>84</v>
      </c>
      <c r="B85" t="s">
        <v>109</v>
      </c>
      <c r="C85" t="s">
        <v>347</v>
      </c>
      <c r="D85" t="s">
        <v>347</v>
      </c>
    </row>
    <row r="86" spans="1:4">
      <c r="A86">
        <v>85</v>
      </c>
      <c r="B86" t="s">
        <v>109</v>
      </c>
      <c r="C86" t="s">
        <v>347</v>
      </c>
      <c r="D86" t="s">
        <v>347</v>
      </c>
    </row>
    <row r="87" spans="1:4">
      <c r="A87">
        <v>86</v>
      </c>
      <c r="B87" t="s">
        <v>109</v>
      </c>
      <c r="C87" t="s">
        <v>348</v>
      </c>
      <c r="D87" t="s">
        <v>348</v>
      </c>
    </row>
    <row r="88" spans="1:4">
      <c r="A88">
        <v>87</v>
      </c>
      <c r="B88" t="s">
        <v>109</v>
      </c>
      <c r="C88" t="s">
        <v>348</v>
      </c>
      <c r="D88" t="s">
        <v>348</v>
      </c>
    </row>
    <row r="89" spans="1:4">
      <c r="A89">
        <v>88</v>
      </c>
      <c r="B89" t="s">
        <v>109</v>
      </c>
      <c r="C89" t="s">
        <v>348</v>
      </c>
      <c r="D89" t="s">
        <v>348</v>
      </c>
    </row>
    <row r="90" spans="1:4">
      <c r="A90">
        <v>89</v>
      </c>
      <c r="B90" t="s">
        <v>110</v>
      </c>
      <c r="C90" t="s">
        <v>348</v>
      </c>
      <c r="D90" t="s">
        <v>348</v>
      </c>
    </row>
    <row r="91" spans="1:4">
      <c r="A91">
        <v>90</v>
      </c>
      <c r="B91" t="s">
        <v>110</v>
      </c>
      <c r="C91" t="s">
        <v>348</v>
      </c>
      <c r="D91" t="s">
        <v>348</v>
      </c>
    </row>
    <row r="92" spans="1:4">
      <c r="A92">
        <v>91</v>
      </c>
      <c r="B92" t="s">
        <v>110</v>
      </c>
      <c r="C92" t="s">
        <v>348</v>
      </c>
      <c r="D92" t="s">
        <v>348</v>
      </c>
    </row>
    <row r="93" spans="1:4">
      <c r="A93">
        <v>92</v>
      </c>
      <c r="B93" t="s">
        <v>110</v>
      </c>
      <c r="C93" t="s">
        <v>348</v>
      </c>
      <c r="D93" t="s">
        <v>348</v>
      </c>
    </row>
    <row r="94" spans="1:4">
      <c r="A94">
        <v>93</v>
      </c>
      <c r="B94" t="s">
        <v>110</v>
      </c>
      <c r="C94" t="s">
        <v>348</v>
      </c>
      <c r="D94" t="s">
        <v>348</v>
      </c>
    </row>
    <row r="95" spans="1:4">
      <c r="A95">
        <v>94</v>
      </c>
      <c r="B95" t="s">
        <v>110</v>
      </c>
      <c r="C95" t="s">
        <v>348</v>
      </c>
      <c r="D95" t="s">
        <v>348</v>
      </c>
    </row>
    <row r="96" spans="1:4">
      <c r="A96">
        <v>95</v>
      </c>
      <c r="B96" t="s">
        <v>110</v>
      </c>
      <c r="C96" t="s">
        <v>348</v>
      </c>
      <c r="D96" t="s">
        <v>348</v>
      </c>
    </row>
    <row r="97" spans="1:4">
      <c r="A97">
        <v>96</v>
      </c>
      <c r="B97" t="s">
        <v>110</v>
      </c>
      <c r="C97" t="s">
        <v>347</v>
      </c>
      <c r="D97" t="s">
        <v>347</v>
      </c>
    </row>
    <row r="98" spans="1:4">
      <c r="A98">
        <v>97</v>
      </c>
      <c r="B98" t="s">
        <v>111</v>
      </c>
      <c r="C98" t="s">
        <v>348</v>
      </c>
      <c r="D98" t="s">
        <v>348</v>
      </c>
    </row>
    <row r="99" spans="1:4">
      <c r="A99">
        <v>98</v>
      </c>
      <c r="B99" t="s">
        <v>111</v>
      </c>
      <c r="C99" t="s">
        <v>348</v>
      </c>
      <c r="D99" t="s">
        <v>348</v>
      </c>
    </row>
    <row r="100" spans="1:4">
      <c r="A100">
        <v>99</v>
      </c>
      <c r="B100" t="s">
        <v>111</v>
      </c>
      <c r="C100" t="s">
        <v>348</v>
      </c>
      <c r="D100" t="s">
        <v>348</v>
      </c>
    </row>
    <row r="101" spans="1:4">
      <c r="A101">
        <v>100</v>
      </c>
      <c r="B101" t="s">
        <v>111</v>
      </c>
      <c r="C101" t="s">
        <v>348</v>
      </c>
      <c r="D101" t="s">
        <v>348</v>
      </c>
    </row>
    <row r="102" spans="1:4">
      <c r="A102">
        <v>101</v>
      </c>
      <c r="B102" t="s">
        <v>112</v>
      </c>
      <c r="C102" t="s">
        <v>348</v>
      </c>
      <c r="D102" t="s">
        <v>347</v>
      </c>
    </row>
    <row r="103" spans="1:4">
      <c r="A103">
        <v>102</v>
      </c>
      <c r="B103" t="s">
        <v>112</v>
      </c>
      <c r="C103" t="s">
        <v>347</v>
      </c>
      <c r="D103" t="s">
        <v>347</v>
      </c>
    </row>
    <row r="104" spans="1:4">
      <c r="A104">
        <v>103</v>
      </c>
      <c r="B104" t="s">
        <v>113</v>
      </c>
      <c r="C104" t="s">
        <v>348</v>
      </c>
      <c r="D104" t="s">
        <v>348</v>
      </c>
    </row>
    <row r="105" spans="1:4">
      <c r="A105">
        <v>104</v>
      </c>
      <c r="B105" t="s">
        <v>114</v>
      </c>
      <c r="C105" t="s">
        <v>347</v>
      </c>
      <c r="D105" t="s">
        <v>347</v>
      </c>
    </row>
  </sheetData>
  <autoFilter ref="A1:E1" xr:uid="{EF9A6D21-38DA-4245-8378-F6A8BACF69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3B3B-6FF6-344E-B5C4-14B84CF223EB}">
  <dimension ref="A1:U34"/>
  <sheetViews>
    <sheetView workbookViewId="0">
      <selection activeCell="I2" sqref="I2"/>
    </sheetView>
  </sheetViews>
  <sheetFormatPr baseColWidth="10" defaultColWidth="8.83203125" defaultRowHeight="16"/>
  <cols>
    <col min="1" max="1" width="13.33203125" bestFit="1" customWidth="1"/>
    <col min="2" max="2" width="3.6640625" bestFit="1" customWidth="1"/>
    <col min="3" max="4" width="4.5" bestFit="1" customWidth="1"/>
    <col min="5" max="5" width="3.1640625" bestFit="1" customWidth="1"/>
    <col min="6" max="6" width="5.1640625" bestFit="1" customWidth="1"/>
    <col min="7" max="8" width="3.6640625" bestFit="1" customWidth="1"/>
    <col min="9" max="10" width="3.5" bestFit="1" customWidth="1"/>
    <col min="11" max="11" width="4" bestFit="1" customWidth="1"/>
    <col min="12" max="12" width="4.5" bestFit="1" customWidth="1"/>
    <col min="13" max="13" width="3" bestFit="1" customWidth="1"/>
    <col min="14" max="14" width="4.83203125" bestFit="1" customWidth="1"/>
    <col min="15" max="15" width="4.33203125" bestFit="1" customWidth="1"/>
    <col min="16" max="20" width="4.5" bestFit="1" customWidth="1"/>
    <col min="21" max="21" width="6.33203125" bestFit="1" customWidth="1"/>
  </cols>
  <sheetData>
    <row r="1" spans="1:21" ht="14" customHeight="1">
      <c r="A1" s="13"/>
      <c r="B1" s="13"/>
      <c r="C1" s="13"/>
      <c r="D1" s="14"/>
      <c r="E1" s="15" t="s">
        <v>319</v>
      </c>
      <c r="F1" s="16"/>
      <c r="G1" s="16"/>
      <c r="H1" s="16"/>
      <c r="I1" s="16" t="s">
        <v>320</v>
      </c>
      <c r="J1" s="16"/>
      <c r="K1" s="16"/>
      <c r="L1" s="16"/>
      <c r="M1" s="16"/>
      <c r="N1" s="16"/>
      <c r="O1" s="16"/>
      <c r="P1" s="16"/>
      <c r="Q1" s="16" t="s">
        <v>321</v>
      </c>
      <c r="R1" s="16"/>
      <c r="S1" s="16"/>
      <c r="T1" s="16"/>
      <c r="U1" s="16"/>
    </row>
    <row r="2" spans="1:21">
      <c r="A2" s="7" t="s">
        <v>322</v>
      </c>
      <c r="B2" s="7" t="s">
        <v>323</v>
      </c>
      <c r="C2" s="7" t="s">
        <v>324</v>
      </c>
      <c r="D2" s="7" t="s">
        <v>325</v>
      </c>
      <c r="E2" s="7" t="s">
        <v>326</v>
      </c>
      <c r="F2" s="7" t="s">
        <v>327</v>
      </c>
      <c r="G2" s="7" t="s">
        <v>328</v>
      </c>
      <c r="H2" s="7" t="s">
        <v>329</v>
      </c>
      <c r="I2" s="7" t="s">
        <v>330</v>
      </c>
      <c r="J2" s="7" t="s">
        <v>331</v>
      </c>
      <c r="K2" s="7" t="s">
        <v>332</v>
      </c>
      <c r="L2" s="7" t="s">
        <v>333</v>
      </c>
      <c r="M2" s="7" t="s">
        <v>334</v>
      </c>
      <c r="N2" s="7" t="s">
        <v>335</v>
      </c>
      <c r="O2" s="7" t="s">
        <v>336</v>
      </c>
      <c r="P2" s="7" t="s">
        <v>337</v>
      </c>
      <c r="Q2" s="7" t="s">
        <v>330</v>
      </c>
      <c r="R2" s="7" t="s">
        <v>331</v>
      </c>
      <c r="S2" s="7" t="s">
        <v>332</v>
      </c>
      <c r="T2" s="7" t="s">
        <v>333</v>
      </c>
      <c r="U2" s="7" t="s">
        <v>338</v>
      </c>
    </row>
    <row r="3" spans="1:21">
      <c r="A3" s="7" t="s">
        <v>107</v>
      </c>
      <c r="B3" s="6">
        <v>24</v>
      </c>
      <c r="C3" s="6">
        <v>27.5</v>
      </c>
      <c r="D3" s="6">
        <v>57.4</v>
      </c>
      <c r="E3" s="6">
        <v>7</v>
      </c>
      <c r="F3" s="6">
        <v>77</v>
      </c>
      <c r="G3" s="6">
        <v>690</v>
      </c>
      <c r="H3" s="6">
        <v>7.7</v>
      </c>
      <c r="I3" s="6">
        <v>15</v>
      </c>
      <c r="J3" s="6">
        <v>8</v>
      </c>
      <c r="K3" s="6">
        <v>23</v>
      </c>
      <c r="L3" s="6">
        <v>11</v>
      </c>
      <c r="M3" s="6">
        <v>4</v>
      </c>
      <c r="N3" s="6">
        <v>5</v>
      </c>
      <c r="O3" s="6">
        <v>19</v>
      </c>
      <c r="P3" s="6">
        <v>0</v>
      </c>
      <c r="Q3" s="6">
        <v>1.96</v>
      </c>
      <c r="R3" s="6">
        <v>1.04</v>
      </c>
      <c r="S3" s="6">
        <v>3</v>
      </c>
      <c r="T3" s="6">
        <v>1.43</v>
      </c>
      <c r="U3" s="6">
        <v>2.48</v>
      </c>
    </row>
    <row r="4" spans="1:21">
      <c r="A4" s="7" t="s">
        <v>86</v>
      </c>
      <c r="B4" s="6">
        <v>20</v>
      </c>
      <c r="C4" s="6">
        <v>27.8</v>
      </c>
      <c r="D4" s="6">
        <v>37.799999999999997</v>
      </c>
      <c r="E4" s="6">
        <v>4</v>
      </c>
      <c r="F4" s="6">
        <v>44</v>
      </c>
      <c r="G4" s="6">
        <v>360</v>
      </c>
      <c r="H4" s="6">
        <v>4</v>
      </c>
      <c r="I4" s="6">
        <v>3</v>
      </c>
      <c r="J4" s="6">
        <v>3</v>
      </c>
      <c r="K4" s="6">
        <v>6</v>
      </c>
      <c r="L4" s="6">
        <v>3</v>
      </c>
      <c r="M4" s="6">
        <v>0</v>
      </c>
      <c r="N4" s="6">
        <v>0</v>
      </c>
      <c r="O4" s="6">
        <v>7</v>
      </c>
      <c r="P4" s="6">
        <v>0</v>
      </c>
      <c r="Q4" s="6">
        <v>0.75</v>
      </c>
      <c r="R4" s="6">
        <v>0.75</v>
      </c>
      <c r="S4" s="6">
        <v>1.5</v>
      </c>
      <c r="T4" s="6">
        <v>0.75</v>
      </c>
      <c r="U4" s="6">
        <v>1.5</v>
      </c>
    </row>
    <row r="5" spans="1:21">
      <c r="A5" s="7" t="s">
        <v>104</v>
      </c>
      <c r="B5" s="6">
        <v>20</v>
      </c>
      <c r="C5" s="6">
        <v>29.7</v>
      </c>
      <c r="D5" s="6">
        <v>57</v>
      </c>
      <c r="E5" s="6">
        <v>3</v>
      </c>
      <c r="F5" s="6">
        <v>33</v>
      </c>
      <c r="G5" s="6">
        <v>270</v>
      </c>
      <c r="H5" s="6">
        <v>3</v>
      </c>
      <c r="I5" s="6">
        <v>1</v>
      </c>
      <c r="J5" s="6">
        <v>1</v>
      </c>
      <c r="K5" s="6">
        <v>2</v>
      </c>
      <c r="L5" s="6">
        <v>1</v>
      </c>
      <c r="M5" s="6">
        <v>0</v>
      </c>
      <c r="N5" s="6">
        <v>0</v>
      </c>
      <c r="O5" s="6">
        <v>5</v>
      </c>
      <c r="P5" s="6">
        <v>0</v>
      </c>
      <c r="Q5" s="6">
        <v>0.33</v>
      </c>
      <c r="R5" s="6">
        <v>0.33</v>
      </c>
      <c r="S5" s="6">
        <v>0.67</v>
      </c>
      <c r="T5" s="6">
        <v>0.33</v>
      </c>
      <c r="U5" s="6">
        <v>0.67</v>
      </c>
    </row>
    <row r="6" spans="1:21">
      <c r="A6" s="7" t="s">
        <v>97</v>
      </c>
      <c r="B6" s="6">
        <v>26</v>
      </c>
      <c r="C6" s="6">
        <v>27.6</v>
      </c>
      <c r="D6" s="6">
        <v>56.2</v>
      </c>
      <c r="E6" s="6">
        <v>5</v>
      </c>
      <c r="F6" s="6">
        <v>55</v>
      </c>
      <c r="G6" s="6">
        <v>480</v>
      </c>
      <c r="H6" s="6">
        <v>5.3</v>
      </c>
      <c r="I6" s="6">
        <v>8</v>
      </c>
      <c r="J6" s="6">
        <v>6</v>
      </c>
      <c r="K6" s="6">
        <v>14</v>
      </c>
      <c r="L6" s="6">
        <v>7</v>
      </c>
      <c r="M6" s="6">
        <v>1</v>
      </c>
      <c r="N6" s="6">
        <v>1</v>
      </c>
      <c r="O6" s="6">
        <v>6</v>
      </c>
      <c r="P6" s="6">
        <v>0</v>
      </c>
      <c r="Q6" s="6">
        <v>1.5</v>
      </c>
      <c r="R6" s="6">
        <v>1.1299999999999999</v>
      </c>
      <c r="S6" s="6">
        <v>2.62</v>
      </c>
      <c r="T6" s="6">
        <v>1.31</v>
      </c>
      <c r="U6" s="6">
        <v>2.44</v>
      </c>
    </row>
    <row r="7" spans="1:21">
      <c r="A7" s="7" t="s">
        <v>339</v>
      </c>
      <c r="B7" s="6">
        <v>22</v>
      </c>
      <c r="C7" s="6">
        <v>27.2</v>
      </c>
      <c r="D7" s="6">
        <v>41.7</v>
      </c>
      <c r="E7" s="6">
        <v>3</v>
      </c>
      <c r="F7" s="6">
        <v>33</v>
      </c>
      <c r="G7" s="6">
        <v>270</v>
      </c>
      <c r="H7" s="6">
        <v>3</v>
      </c>
      <c r="I7" s="6">
        <v>4</v>
      </c>
      <c r="J7" s="6">
        <v>4</v>
      </c>
      <c r="K7" s="6">
        <v>8</v>
      </c>
      <c r="L7" s="6">
        <v>4</v>
      </c>
      <c r="M7" s="6">
        <v>0</v>
      </c>
      <c r="N7" s="6">
        <v>0</v>
      </c>
      <c r="O7" s="6">
        <v>8</v>
      </c>
      <c r="P7" s="6">
        <v>1</v>
      </c>
      <c r="Q7" s="6">
        <v>1.33</v>
      </c>
      <c r="R7" s="6">
        <v>1.33</v>
      </c>
      <c r="S7" s="6">
        <v>2.67</v>
      </c>
      <c r="T7" s="6">
        <v>1.33</v>
      </c>
      <c r="U7" s="6">
        <v>2.67</v>
      </c>
    </row>
    <row r="8" spans="1:21">
      <c r="A8" s="7" t="s">
        <v>96</v>
      </c>
      <c r="B8" s="6">
        <v>19</v>
      </c>
      <c r="C8" s="6">
        <v>27.3</v>
      </c>
      <c r="D8" s="6">
        <v>52</v>
      </c>
      <c r="E8" s="6">
        <v>3</v>
      </c>
      <c r="F8" s="6">
        <v>33</v>
      </c>
      <c r="G8" s="6">
        <v>270</v>
      </c>
      <c r="H8" s="6">
        <v>3</v>
      </c>
      <c r="I8" s="6">
        <v>1</v>
      </c>
      <c r="J8" s="6">
        <v>1</v>
      </c>
      <c r="K8" s="6">
        <v>2</v>
      </c>
      <c r="L8" s="6">
        <v>1</v>
      </c>
      <c r="M8" s="6">
        <v>0</v>
      </c>
      <c r="N8" s="6">
        <v>1</v>
      </c>
      <c r="O8" s="6">
        <v>8</v>
      </c>
      <c r="P8" s="6">
        <v>0</v>
      </c>
      <c r="Q8" s="6">
        <v>0.33</v>
      </c>
      <c r="R8" s="6">
        <v>0.33</v>
      </c>
      <c r="S8" s="6">
        <v>0.67</v>
      </c>
      <c r="T8" s="6">
        <v>0.33</v>
      </c>
      <c r="U8" s="6">
        <v>0.67</v>
      </c>
    </row>
    <row r="9" spans="1:21">
      <c r="A9" s="7" t="s">
        <v>340</v>
      </c>
      <c r="B9" s="6">
        <v>22</v>
      </c>
      <c r="C9" s="6">
        <v>29.7</v>
      </c>
      <c r="D9" s="6">
        <v>31.3</v>
      </c>
      <c r="E9" s="6">
        <v>3</v>
      </c>
      <c r="F9" s="6">
        <v>33</v>
      </c>
      <c r="G9" s="6">
        <v>270</v>
      </c>
      <c r="H9" s="6">
        <v>3</v>
      </c>
      <c r="I9" s="6">
        <v>3</v>
      </c>
      <c r="J9" s="6">
        <v>1</v>
      </c>
      <c r="K9" s="6">
        <v>4</v>
      </c>
      <c r="L9" s="6">
        <v>3</v>
      </c>
      <c r="M9" s="6">
        <v>0</v>
      </c>
      <c r="N9" s="6">
        <v>0</v>
      </c>
      <c r="O9" s="6">
        <v>6</v>
      </c>
      <c r="P9" s="6">
        <v>0</v>
      </c>
      <c r="Q9" s="6">
        <v>1</v>
      </c>
      <c r="R9" s="6">
        <v>0.33</v>
      </c>
      <c r="S9" s="6">
        <v>1.33</v>
      </c>
      <c r="T9" s="6">
        <v>1</v>
      </c>
      <c r="U9" s="6">
        <v>1.33</v>
      </c>
    </row>
    <row r="10" spans="1:21">
      <c r="A10" s="7" t="s">
        <v>81</v>
      </c>
      <c r="B10" s="6">
        <v>21</v>
      </c>
      <c r="C10" s="6">
        <v>28.3</v>
      </c>
      <c r="D10" s="6">
        <v>54.3</v>
      </c>
      <c r="E10" s="6">
        <v>7</v>
      </c>
      <c r="F10" s="6">
        <v>77</v>
      </c>
      <c r="G10" s="6">
        <v>690</v>
      </c>
      <c r="H10" s="6">
        <v>7.7</v>
      </c>
      <c r="I10" s="6">
        <v>8</v>
      </c>
      <c r="J10" s="6">
        <v>8</v>
      </c>
      <c r="K10" s="6">
        <v>16</v>
      </c>
      <c r="L10" s="6">
        <v>8</v>
      </c>
      <c r="M10" s="6">
        <v>0</v>
      </c>
      <c r="N10" s="6">
        <v>0</v>
      </c>
      <c r="O10" s="6">
        <v>8</v>
      </c>
      <c r="P10" s="6">
        <v>0</v>
      </c>
      <c r="Q10" s="6">
        <v>1.04</v>
      </c>
      <c r="R10" s="6">
        <v>1.04</v>
      </c>
      <c r="S10" s="6">
        <v>2.09</v>
      </c>
      <c r="T10" s="6">
        <v>1.04</v>
      </c>
      <c r="U10" s="6">
        <v>2.09</v>
      </c>
    </row>
    <row r="11" spans="1:21">
      <c r="A11" s="7" t="s">
        <v>341</v>
      </c>
      <c r="B11" s="6">
        <v>20</v>
      </c>
      <c r="C11" s="6">
        <v>26.6</v>
      </c>
      <c r="D11" s="6">
        <v>60</v>
      </c>
      <c r="E11" s="6">
        <v>3</v>
      </c>
      <c r="F11" s="6">
        <v>33</v>
      </c>
      <c r="G11" s="6">
        <v>270</v>
      </c>
      <c r="H11" s="6">
        <v>3</v>
      </c>
      <c r="I11" s="6">
        <v>1</v>
      </c>
      <c r="J11" s="6">
        <v>1</v>
      </c>
      <c r="K11" s="6">
        <v>2</v>
      </c>
      <c r="L11" s="6">
        <v>1</v>
      </c>
      <c r="M11" s="6">
        <v>0</v>
      </c>
      <c r="N11" s="6">
        <v>0</v>
      </c>
      <c r="O11" s="6">
        <v>5</v>
      </c>
      <c r="P11" s="6">
        <v>0</v>
      </c>
      <c r="Q11" s="6">
        <v>0.33</v>
      </c>
      <c r="R11" s="6">
        <v>0.33</v>
      </c>
      <c r="S11" s="6">
        <v>0.67</v>
      </c>
      <c r="T11" s="6">
        <v>0.33</v>
      </c>
      <c r="U11" s="6">
        <v>0.67</v>
      </c>
    </row>
    <row r="12" spans="1:21">
      <c r="A12" s="7" t="s">
        <v>70</v>
      </c>
      <c r="B12" s="6">
        <v>18</v>
      </c>
      <c r="C12" s="6">
        <v>24.9</v>
      </c>
      <c r="D12" s="6">
        <v>53.3</v>
      </c>
      <c r="E12" s="6">
        <v>3</v>
      </c>
      <c r="F12" s="6">
        <v>33</v>
      </c>
      <c r="G12" s="6">
        <v>270</v>
      </c>
      <c r="H12" s="6">
        <v>3</v>
      </c>
      <c r="I12" s="6">
        <v>4</v>
      </c>
      <c r="J12" s="6">
        <v>2</v>
      </c>
      <c r="K12" s="6">
        <v>6</v>
      </c>
      <c r="L12" s="6">
        <v>3</v>
      </c>
      <c r="M12" s="6">
        <v>1</v>
      </c>
      <c r="N12" s="6">
        <v>1</v>
      </c>
      <c r="O12" s="6">
        <v>3</v>
      </c>
      <c r="P12" s="6">
        <v>0</v>
      </c>
      <c r="Q12" s="6">
        <v>1.33</v>
      </c>
      <c r="R12" s="6">
        <v>0.67</v>
      </c>
      <c r="S12" s="6">
        <v>2</v>
      </c>
      <c r="T12" s="6">
        <v>1</v>
      </c>
      <c r="U12" s="6">
        <v>1.67</v>
      </c>
    </row>
    <row r="13" spans="1:21">
      <c r="A13" s="7" t="s">
        <v>105</v>
      </c>
      <c r="B13" s="6">
        <v>20</v>
      </c>
      <c r="C13" s="6">
        <v>26.1</v>
      </c>
      <c r="D13" s="6">
        <v>62.8</v>
      </c>
      <c r="E13" s="6">
        <v>5</v>
      </c>
      <c r="F13" s="6">
        <v>55</v>
      </c>
      <c r="G13" s="6">
        <v>450</v>
      </c>
      <c r="H13" s="6">
        <v>5</v>
      </c>
      <c r="I13" s="6">
        <v>13</v>
      </c>
      <c r="J13" s="6">
        <v>11</v>
      </c>
      <c r="K13" s="6">
        <v>24</v>
      </c>
      <c r="L13" s="6">
        <v>12</v>
      </c>
      <c r="M13" s="6">
        <v>1</v>
      </c>
      <c r="N13" s="6">
        <v>2</v>
      </c>
      <c r="O13" s="6">
        <v>1</v>
      </c>
      <c r="P13" s="6">
        <v>0</v>
      </c>
      <c r="Q13" s="6">
        <v>2.6</v>
      </c>
      <c r="R13" s="6">
        <v>2.2000000000000002</v>
      </c>
      <c r="S13" s="6">
        <v>4.8</v>
      </c>
      <c r="T13" s="6">
        <v>2.4</v>
      </c>
      <c r="U13" s="6">
        <v>4.5999999999999996</v>
      </c>
    </row>
    <row r="14" spans="1:21">
      <c r="A14" s="7" t="s">
        <v>102</v>
      </c>
      <c r="B14" s="6">
        <v>24</v>
      </c>
      <c r="C14" s="6">
        <v>26.3</v>
      </c>
      <c r="D14" s="6">
        <v>51.3</v>
      </c>
      <c r="E14" s="6">
        <v>7</v>
      </c>
      <c r="F14" s="6">
        <v>77</v>
      </c>
      <c r="G14" s="6">
        <v>660</v>
      </c>
      <c r="H14" s="6">
        <v>7.3</v>
      </c>
      <c r="I14" s="6">
        <v>16</v>
      </c>
      <c r="J14" s="6">
        <v>12</v>
      </c>
      <c r="K14" s="6">
        <v>28</v>
      </c>
      <c r="L14" s="6">
        <v>14</v>
      </c>
      <c r="M14" s="6">
        <v>2</v>
      </c>
      <c r="N14" s="6">
        <v>2</v>
      </c>
      <c r="O14" s="6">
        <v>8</v>
      </c>
      <c r="P14" s="6">
        <v>0</v>
      </c>
      <c r="Q14" s="6">
        <v>2.1800000000000002</v>
      </c>
      <c r="R14" s="6">
        <v>1.64</v>
      </c>
      <c r="S14" s="6">
        <v>3.82</v>
      </c>
      <c r="T14" s="6">
        <v>1.91</v>
      </c>
      <c r="U14" s="6">
        <v>3.55</v>
      </c>
    </row>
    <row r="15" spans="1:21">
      <c r="A15" s="7" t="s">
        <v>99</v>
      </c>
      <c r="B15" s="6">
        <v>20</v>
      </c>
      <c r="C15" s="6">
        <v>27.3</v>
      </c>
      <c r="D15" s="6">
        <v>59.3</v>
      </c>
      <c r="E15" s="6">
        <v>3</v>
      </c>
      <c r="F15" s="6">
        <v>33</v>
      </c>
      <c r="G15" s="6">
        <v>270</v>
      </c>
      <c r="H15" s="6">
        <v>3</v>
      </c>
      <c r="I15" s="6">
        <v>6</v>
      </c>
      <c r="J15" s="6">
        <v>5</v>
      </c>
      <c r="K15" s="6">
        <v>11</v>
      </c>
      <c r="L15" s="6">
        <v>5</v>
      </c>
      <c r="M15" s="6">
        <v>1</v>
      </c>
      <c r="N15" s="6">
        <v>1</v>
      </c>
      <c r="O15" s="6">
        <v>3</v>
      </c>
      <c r="P15" s="6">
        <v>0</v>
      </c>
      <c r="Q15" s="6">
        <v>2</v>
      </c>
      <c r="R15" s="6">
        <v>1.67</v>
      </c>
      <c r="S15" s="6">
        <v>3.67</v>
      </c>
      <c r="T15" s="6">
        <v>1.67</v>
      </c>
      <c r="U15" s="6">
        <v>3.33</v>
      </c>
    </row>
    <row r="16" spans="1:21">
      <c r="A16" s="7" t="s">
        <v>95</v>
      </c>
      <c r="B16" s="6">
        <v>20</v>
      </c>
      <c r="C16" s="6">
        <v>25.5</v>
      </c>
      <c r="D16" s="6">
        <v>42</v>
      </c>
      <c r="E16" s="6">
        <v>3</v>
      </c>
      <c r="F16" s="6">
        <v>33</v>
      </c>
      <c r="G16" s="6">
        <v>270</v>
      </c>
      <c r="H16" s="6">
        <v>3</v>
      </c>
      <c r="I16" s="6">
        <v>5</v>
      </c>
      <c r="J16" s="6">
        <v>2</v>
      </c>
      <c r="K16" s="6">
        <v>7</v>
      </c>
      <c r="L16" s="6">
        <v>5</v>
      </c>
      <c r="M16" s="6">
        <v>0</v>
      </c>
      <c r="N16" s="6">
        <v>1</v>
      </c>
      <c r="O16" s="6">
        <v>8</v>
      </c>
      <c r="P16" s="6">
        <v>0</v>
      </c>
      <c r="Q16" s="6">
        <v>1.67</v>
      </c>
      <c r="R16" s="6">
        <v>0.67</v>
      </c>
      <c r="S16" s="6">
        <v>2.33</v>
      </c>
      <c r="T16" s="6">
        <v>1.67</v>
      </c>
      <c r="U16" s="6">
        <v>2.33</v>
      </c>
    </row>
    <row r="17" spans="1:21">
      <c r="A17" s="7" t="s">
        <v>91</v>
      </c>
      <c r="B17" s="6">
        <v>21</v>
      </c>
      <c r="C17" s="6">
        <v>28.5</v>
      </c>
      <c r="D17" s="6">
        <v>36.700000000000003</v>
      </c>
      <c r="E17" s="6">
        <v>3</v>
      </c>
      <c r="F17" s="6">
        <v>33</v>
      </c>
      <c r="G17" s="6">
        <v>270</v>
      </c>
      <c r="H17" s="6">
        <v>3</v>
      </c>
      <c r="I17" s="6">
        <v>4</v>
      </c>
      <c r="J17" s="6">
        <v>2</v>
      </c>
      <c r="K17" s="6">
        <v>6</v>
      </c>
      <c r="L17" s="6">
        <v>3</v>
      </c>
      <c r="M17" s="6">
        <v>1</v>
      </c>
      <c r="N17" s="6">
        <v>1</v>
      </c>
      <c r="O17" s="6">
        <v>7</v>
      </c>
      <c r="P17" s="6">
        <v>0</v>
      </c>
      <c r="Q17" s="6">
        <v>1.33</v>
      </c>
      <c r="R17" s="6">
        <v>0.67</v>
      </c>
      <c r="S17" s="6">
        <v>2</v>
      </c>
      <c r="T17" s="6">
        <v>1</v>
      </c>
      <c r="U17" s="6">
        <v>1.67</v>
      </c>
    </row>
    <row r="18" spans="1:21">
      <c r="A18" s="7" t="s">
        <v>69</v>
      </c>
      <c r="B18" s="6">
        <v>22</v>
      </c>
      <c r="C18" s="6">
        <v>28</v>
      </c>
      <c r="D18" s="6">
        <v>35.799999999999997</v>
      </c>
      <c r="E18" s="6">
        <v>4</v>
      </c>
      <c r="F18" s="6">
        <v>44</v>
      </c>
      <c r="G18" s="6">
        <v>390</v>
      </c>
      <c r="H18" s="6">
        <v>4.3</v>
      </c>
      <c r="I18" s="6">
        <v>5</v>
      </c>
      <c r="J18" s="6">
        <v>4</v>
      </c>
      <c r="K18" s="6">
        <v>9</v>
      </c>
      <c r="L18" s="6">
        <v>5</v>
      </c>
      <c r="M18" s="6">
        <v>0</v>
      </c>
      <c r="N18" s="6">
        <v>0</v>
      </c>
      <c r="O18" s="6">
        <v>6</v>
      </c>
      <c r="P18" s="6">
        <v>0</v>
      </c>
      <c r="Q18" s="6">
        <v>1.1499999999999999</v>
      </c>
      <c r="R18" s="6">
        <v>0.92</v>
      </c>
      <c r="S18" s="6">
        <v>2.08</v>
      </c>
      <c r="T18" s="6">
        <v>1.1499999999999999</v>
      </c>
      <c r="U18" s="6">
        <v>2.08</v>
      </c>
    </row>
    <row r="19" spans="1:21">
      <c r="A19" s="7" t="s">
        <v>85</v>
      </c>
      <c r="B19" s="6">
        <v>21</v>
      </c>
      <c r="C19" s="6">
        <v>28.2</v>
      </c>
      <c r="D19" s="6">
        <v>48.3</v>
      </c>
      <c r="E19" s="6">
        <v>4</v>
      </c>
      <c r="F19" s="6">
        <v>44</v>
      </c>
      <c r="G19" s="6">
        <v>360</v>
      </c>
      <c r="H19" s="6">
        <v>4</v>
      </c>
      <c r="I19" s="6">
        <v>5</v>
      </c>
      <c r="J19" s="6">
        <v>3</v>
      </c>
      <c r="K19" s="6">
        <v>8</v>
      </c>
      <c r="L19" s="6">
        <v>5</v>
      </c>
      <c r="M19" s="6">
        <v>0</v>
      </c>
      <c r="N19" s="6">
        <v>0</v>
      </c>
      <c r="O19" s="6">
        <v>7</v>
      </c>
      <c r="P19" s="6">
        <v>0</v>
      </c>
      <c r="Q19" s="6">
        <v>1.25</v>
      </c>
      <c r="R19" s="6">
        <v>0.75</v>
      </c>
      <c r="S19" s="6">
        <v>2</v>
      </c>
      <c r="T19" s="6">
        <v>1.25</v>
      </c>
      <c r="U19" s="6">
        <v>2</v>
      </c>
    </row>
    <row r="20" spans="1:21">
      <c r="A20" s="7" t="s">
        <v>98</v>
      </c>
      <c r="B20" s="6">
        <v>21</v>
      </c>
      <c r="C20" s="6">
        <v>28.2</v>
      </c>
      <c r="D20" s="6">
        <v>54</v>
      </c>
      <c r="E20" s="6">
        <v>3</v>
      </c>
      <c r="F20" s="6">
        <v>33</v>
      </c>
      <c r="G20" s="6">
        <v>270</v>
      </c>
      <c r="H20" s="6">
        <v>3</v>
      </c>
      <c r="I20" s="6">
        <v>2</v>
      </c>
      <c r="J20" s="6">
        <v>1</v>
      </c>
      <c r="K20" s="6">
        <v>3</v>
      </c>
      <c r="L20" s="6">
        <v>2</v>
      </c>
      <c r="M20" s="6">
        <v>0</v>
      </c>
      <c r="N20" s="6">
        <v>0</v>
      </c>
      <c r="O20" s="6">
        <v>7</v>
      </c>
      <c r="P20" s="6">
        <v>0</v>
      </c>
      <c r="Q20" s="6">
        <v>0.67</v>
      </c>
      <c r="R20" s="6">
        <v>0.33</v>
      </c>
      <c r="S20" s="6">
        <v>1</v>
      </c>
      <c r="T20" s="6">
        <v>0.67</v>
      </c>
      <c r="U20" s="6">
        <v>1</v>
      </c>
    </row>
    <row r="21" spans="1:21">
      <c r="A21" s="7" t="s">
        <v>65</v>
      </c>
      <c r="B21" s="6">
        <v>25</v>
      </c>
      <c r="C21" s="6">
        <v>26.3</v>
      </c>
      <c r="D21" s="6">
        <v>39</v>
      </c>
      <c r="E21" s="6">
        <v>7</v>
      </c>
      <c r="F21" s="6">
        <v>77</v>
      </c>
      <c r="G21" s="6">
        <v>660</v>
      </c>
      <c r="H21" s="6">
        <v>7.3</v>
      </c>
      <c r="I21" s="6">
        <v>6</v>
      </c>
      <c r="J21" s="6">
        <v>4</v>
      </c>
      <c r="K21" s="6">
        <v>10</v>
      </c>
      <c r="L21" s="6">
        <v>6</v>
      </c>
      <c r="M21" s="6">
        <v>0</v>
      </c>
      <c r="N21" s="6">
        <v>0</v>
      </c>
      <c r="O21" s="6">
        <v>9</v>
      </c>
      <c r="P21" s="6">
        <v>1</v>
      </c>
      <c r="Q21" s="6">
        <v>0.82</v>
      </c>
      <c r="R21" s="6">
        <v>0.55000000000000004</v>
      </c>
      <c r="S21" s="6">
        <v>1.36</v>
      </c>
      <c r="T21" s="6">
        <v>0.82</v>
      </c>
      <c r="U21" s="6">
        <v>1.36</v>
      </c>
    </row>
    <row r="22" spans="1:21">
      <c r="A22" s="7" t="s">
        <v>100</v>
      </c>
      <c r="B22" s="6">
        <v>21</v>
      </c>
      <c r="C22" s="6">
        <v>26.8</v>
      </c>
      <c r="D22" s="6">
        <v>53</v>
      </c>
      <c r="E22" s="6">
        <v>5</v>
      </c>
      <c r="F22" s="6">
        <v>55</v>
      </c>
      <c r="G22" s="6">
        <v>480</v>
      </c>
      <c r="H22" s="6">
        <v>5.3</v>
      </c>
      <c r="I22" s="6">
        <v>10</v>
      </c>
      <c r="J22" s="6">
        <v>8</v>
      </c>
      <c r="K22" s="6">
        <v>18</v>
      </c>
      <c r="L22" s="6">
        <v>10</v>
      </c>
      <c r="M22" s="6">
        <v>0</v>
      </c>
      <c r="N22" s="6">
        <v>0</v>
      </c>
      <c r="O22" s="6">
        <v>12</v>
      </c>
      <c r="P22" s="6">
        <v>1</v>
      </c>
      <c r="Q22" s="6">
        <v>1.87</v>
      </c>
      <c r="R22" s="6">
        <v>1.5</v>
      </c>
      <c r="S22" s="6">
        <v>3.38</v>
      </c>
      <c r="T22" s="6">
        <v>1.87</v>
      </c>
      <c r="U22" s="6">
        <v>3.38</v>
      </c>
    </row>
    <row r="23" spans="1:21">
      <c r="A23" s="7" t="s">
        <v>342</v>
      </c>
      <c r="B23" s="6">
        <v>21</v>
      </c>
      <c r="C23" s="6">
        <v>27.8</v>
      </c>
      <c r="D23" s="6">
        <v>37.299999999999997</v>
      </c>
      <c r="E23" s="6">
        <v>4</v>
      </c>
      <c r="F23" s="6">
        <v>44</v>
      </c>
      <c r="G23" s="6">
        <v>360</v>
      </c>
      <c r="H23" s="6">
        <v>4</v>
      </c>
      <c r="I23" s="6">
        <v>3</v>
      </c>
      <c r="J23" s="6">
        <v>1</v>
      </c>
      <c r="K23" s="6">
        <v>4</v>
      </c>
      <c r="L23" s="6">
        <v>2</v>
      </c>
      <c r="M23" s="6">
        <v>1</v>
      </c>
      <c r="N23" s="6">
        <v>2</v>
      </c>
      <c r="O23" s="6">
        <v>7</v>
      </c>
      <c r="P23" s="6">
        <v>0</v>
      </c>
      <c r="Q23" s="6">
        <v>0.75</v>
      </c>
      <c r="R23" s="6">
        <v>0.25</v>
      </c>
      <c r="S23" s="6">
        <v>1</v>
      </c>
      <c r="T23" s="6">
        <v>0.5</v>
      </c>
      <c r="U23" s="6">
        <v>0.75</v>
      </c>
    </row>
    <row r="24" spans="1:21">
      <c r="A24" s="7" t="s">
        <v>106</v>
      </c>
      <c r="B24" s="6">
        <v>24</v>
      </c>
      <c r="C24" s="6">
        <v>26.9</v>
      </c>
      <c r="D24" s="6">
        <v>60.4</v>
      </c>
      <c r="E24" s="6">
        <v>5</v>
      </c>
      <c r="F24" s="6">
        <v>55</v>
      </c>
      <c r="G24" s="6">
        <v>450</v>
      </c>
      <c r="H24" s="6">
        <v>5</v>
      </c>
      <c r="I24" s="6">
        <v>12</v>
      </c>
      <c r="J24" s="6">
        <v>10</v>
      </c>
      <c r="K24" s="6">
        <v>22</v>
      </c>
      <c r="L24" s="6">
        <v>10</v>
      </c>
      <c r="M24" s="6">
        <v>2</v>
      </c>
      <c r="N24" s="6">
        <v>2</v>
      </c>
      <c r="O24" s="6">
        <v>6</v>
      </c>
      <c r="P24" s="6">
        <v>0</v>
      </c>
      <c r="Q24" s="6">
        <v>2.4</v>
      </c>
      <c r="R24" s="6">
        <v>2</v>
      </c>
      <c r="S24" s="6">
        <v>4.4000000000000004</v>
      </c>
      <c r="T24" s="6">
        <v>2</v>
      </c>
      <c r="U24" s="6">
        <v>4</v>
      </c>
    </row>
    <row r="25" spans="1:21">
      <c r="A25" s="7" t="s">
        <v>84</v>
      </c>
      <c r="B25" s="6">
        <v>20</v>
      </c>
      <c r="C25" s="6">
        <v>28.2</v>
      </c>
      <c r="D25" s="6">
        <v>43</v>
      </c>
      <c r="E25" s="6">
        <v>3</v>
      </c>
      <c r="F25" s="6">
        <v>33</v>
      </c>
      <c r="G25" s="6">
        <v>270</v>
      </c>
      <c r="H25" s="6">
        <v>3</v>
      </c>
      <c r="I25" s="6">
        <v>1</v>
      </c>
      <c r="J25" s="6">
        <v>1</v>
      </c>
      <c r="K25" s="6">
        <v>2</v>
      </c>
      <c r="L25" s="6">
        <v>1</v>
      </c>
      <c r="M25" s="6">
        <v>0</v>
      </c>
      <c r="N25" s="6">
        <v>0</v>
      </c>
      <c r="O25" s="6">
        <v>7</v>
      </c>
      <c r="P25" s="6">
        <v>0</v>
      </c>
      <c r="Q25" s="6">
        <v>0.33</v>
      </c>
      <c r="R25" s="6">
        <v>0.33</v>
      </c>
      <c r="S25" s="6">
        <v>0.67</v>
      </c>
      <c r="T25" s="6">
        <v>0.33</v>
      </c>
      <c r="U25" s="6">
        <v>0.67</v>
      </c>
    </row>
    <row r="26" spans="1:21">
      <c r="A26" s="7" t="s">
        <v>90</v>
      </c>
      <c r="B26" s="6">
        <v>23</v>
      </c>
      <c r="C26" s="6">
        <v>27.3</v>
      </c>
      <c r="D26" s="6">
        <v>44.7</v>
      </c>
      <c r="E26" s="6">
        <v>3</v>
      </c>
      <c r="F26" s="6">
        <v>33</v>
      </c>
      <c r="G26" s="6">
        <v>270</v>
      </c>
      <c r="H26" s="6">
        <v>3</v>
      </c>
      <c r="I26" s="6">
        <v>3</v>
      </c>
      <c r="J26" s="6">
        <v>2</v>
      </c>
      <c r="K26" s="6">
        <v>5</v>
      </c>
      <c r="L26" s="6">
        <v>3</v>
      </c>
      <c r="M26" s="6">
        <v>0</v>
      </c>
      <c r="N26" s="6">
        <v>1</v>
      </c>
      <c r="O26" s="6">
        <v>14</v>
      </c>
      <c r="P26" s="6">
        <v>0</v>
      </c>
      <c r="Q26" s="6">
        <v>1</v>
      </c>
      <c r="R26" s="6">
        <v>0.67</v>
      </c>
      <c r="S26" s="6">
        <v>1.67</v>
      </c>
      <c r="T26" s="6">
        <v>1</v>
      </c>
      <c r="U26" s="6">
        <v>1.67</v>
      </c>
    </row>
    <row r="27" spans="1:21">
      <c r="A27" s="7" t="s">
        <v>76</v>
      </c>
      <c r="B27" s="6">
        <v>20</v>
      </c>
      <c r="C27" s="6">
        <v>26.9</v>
      </c>
      <c r="D27" s="6">
        <v>44.8</v>
      </c>
      <c r="E27" s="6">
        <v>4</v>
      </c>
      <c r="F27" s="6">
        <v>44</v>
      </c>
      <c r="G27" s="6">
        <v>360</v>
      </c>
      <c r="H27" s="6">
        <v>4</v>
      </c>
      <c r="I27" s="6">
        <v>5</v>
      </c>
      <c r="J27" s="6">
        <v>2</v>
      </c>
      <c r="K27" s="6">
        <v>7</v>
      </c>
      <c r="L27" s="6">
        <v>4</v>
      </c>
      <c r="M27" s="6">
        <v>1</v>
      </c>
      <c r="N27" s="6">
        <v>1</v>
      </c>
      <c r="O27" s="6">
        <v>7</v>
      </c>
      <c r="P27" s="6">
        <v>0</v>
      </c>
      <c r="Q27" s="6">
        <v>1.25</v>
      </c>
      <c r="R27" s="6">
        <v>0.5</v>
      </c>
      <c r="S27" s="6">
        <v>1.75</v>
      </c>
      <c r="T27" s="6">
        <v>1</v>
      </c>
      <c r="U27" s="6">
        <v>1.5</v>
      </c>
    </row>
    <row r="28" spans="1:21">
      <c r="A28" s="7" t="s">
        <v>343</v>
      </c>
      <c r="B28" s="6">
        <v>22</v>
      </c>
      <c r="C28" s="6">
        <v>26.5</v>
      </c>
      <c r="D28" s="6">
        <v>51.3</v>
      </c>
      <c r="E28" s="6">
        <v>3</v>
      </c>
      <c r="F28" s="6">
        <v>33</v>
      </c>
      <c r="G28" s="6">
        <v>270</v>
      </c>
      <c r="H28" s="6">
        <v>3</v>
      </c>
      <c r="I28" s="6">
        <v>5</v>
      </c>
      <c r="J28" s="6">
        <v>4</v>
      </c>
      <c r="K28" s="6">
        <v>9</v>
      </c>
      <c r="L28" s="6">
        <v>5</v>
      </c>
      <c r="M28" s="6">
        <v>0</v>
      </c>
      <c r="N28" s="6">
        <v>0</v>
      </c>
      <c r="O28" s="6">
        <v>12</v>
      </c>
      <c r="P28" s="6">
        <v>0</v>
      </c>
      <c r="Q28" s="6">
        <v>1.67</v>
      </c>
      <c r="R28" s="6">
        <v>1.33</v>
      </c>
      <c r="S28" s="6">
        <v>3</v>
      </c>
      <c r="T28" s="6">
        <v>1.67</v>
      </c>
      <c r="U28" s="6">
        <v>3</v>
      </c>
    </row>
    <row r="29" spans="1:21">
      <c r="A29" s="7" t="s">
        <v>103</v>
      </c>
      <c r="B29" s="6">
        <v>21</v>
      </c>
      <c r="C29" s="6">
        <v>25.5</v>
      </c>
      <c r="D29" s="6">
        <v>75.8</v>
      </c>
      <c r="E29" s="6">
        <v>4</v>
      </c>
      <c r="F29" s="6">
        <v>44</v>
      </c>
      <c r="G29" s="6">
        <v>390</v>
      </c>
      <c r="H29" s="6">
        <v>4.3</v>
      </c>
      <c r="I29" s="6">
        <v>9</v>
      </c>
      <c r="J29" s="6">
        <v>5</v>
      </c>
      <c r="K29" s="6">
        <v>14</v>
      </c>
      <c r="L29" s="6">
        <v>8</v>
      </c>
      <c r="M29" s="6">
        <v>1</v>
      </c>
      <c r="N29" s="6">
        <v>1</v>
      </c>
      <c r="O29" s="6">
        <v>2</v>
      </c>
      <c r="P29" s="6">
        <v>0</v>
      </c>
      <c r="Q29" s="6">
        <v>2.08</v>
      </c>
      <c r="R29" s="6">
        <v>1.1499999999999999</v>
      </c>
      <c r="S29" s="6">
        <v>3.23</v>
      </c>
      <c r="T29" s="6">
        <v>1.85</v>
      </c>
      <c r="U29" s="6">
        <v>3</v>
      </c>
    </row>
    <row r="30" spans="1:21">
      <c r="A30" s="7" t="s">
        <v>64</v>
      </c>
      <c r="B30" s="6">
        <v>24</v>
      </c>
      <c r="C30" s="6">
        <v>27.6</v>
      </c>
      <c r="D30" s="6">
        <v>49</v>
      </c>
      <c r="E30" s="6">
        <v>4</v>
      </c>
      <c r="F30" s="6">
        <v>44</v>
      </c>
      <c r="G30" s="6">
        <v>360</v>
      </c>
      <c r="H30" s="6">
        <v>4</v>
      </c>
      <c r="I30" s="6">
        <v>5</v>
      </c>
      <c r="J30" s="6">
        <v>4</v>
      </c>
      <c r="K30" s="6">
        <v>9</v>
      </c>
      <c r="L30" s="6">
        <v>5</v>
      </c>
      <c r="M30" s="6">
        <v>0</v>
      </c>
      <c r="N30" s="6">
        <v>0</v>
      </c>
      <c r="O30" s="6">
        <v>9</v>
      </c>
      <c r="P30" s="6">
        <v>0</v>
      </c>
      <c r="Q30" s="6">
        <v>1.25</v>
      </c>
      <c r="R30" s="6">
        <v>1</v>
      </c>
      <c r="S30" s="6">
        <v>2.25</v>
      </c>
      <c r="T30" s="6">
        <v>1.25</v>
      </c>
      <c r="U30" s="6">
        <v>2.25</v>
      </c>
    </row>
    <row r="31" spans="1:21">
      <c r="A31" s="7" t="s">
        <v>71</v>
      </c>
      <c r="B31" s="6">
        <v>21</v>
      </c>
      <c r="C31" s="6">
        <v>26.9</v>
      </c>
      <c r="D31" s="6">
        <v>44.3</v>
      </c>
      <c r="E31" s="6">
        <v>3</v>
      </c>
      <c r="F31" s="6">
        <v>33</v>
      </c>
      <c r="G31" s="6">
        <v>270</v>
      </c>
      <c r="H31" s="6">
        <v>3</v>
      </c>
      <c r="I31" s="6">
        <v>1</v>
      </c>
      <c r="J31" s="6">
        <v>1</v>
      </c>
      <c r="K31" s="6">
        <v>2</v>
      </c>
      <c r="L31" s="6">
        <v>1</v>
      </c>
      <c r="M31" s="6">
        <v>0</v>
      </c>
      <c r="N31" s="6">
        <v>0</v>
      </c>
      <c r="O31" s="6">
        <v>5</v>
      </c>
      <c r="P31" s="6">
        <v>0</v>
      </c>
      <c r="Q31" s="6">
        <v>0.33</v>
      </c>
      <c r="R31" s="6">
        <v>0.33</v>
      </c>
      <c r="S31" s="6">
        <v>0.67</v>
      </c>
      <c r="T31" s="6">
        <v>0.33</v>
      </c>
      <c r="U31" s="6">
        <v>0.67</v>
      </c>
    </row>
    <row r="32" spans="1:21">
      <c r="A32" s="7" t="s">
        <v>74</v>
      </c>
      <c r="B32" s="6">
        <v>19</v>
      </c>
      <c r="C32" s="6">
        <v>27.6</v>
      </c>
      <c r="D32" s="6">
        <v>48.7</v>
      </c>
      <c r="E32" s="6">
        <v>3</v>
      </c>
      <c r="F32" s="6">
        <v>33</v>
      </c>
      <c r="G32" s="6">
        <v>270</v>
      </c>
      <c r="H32" s="6">
        <v>3</v>
      </c>
      <c r="I32" s="6">
        <v>2</v>
      </c>
      <c r="J32" s="6">
        <v>1</v>
      </c>
      <c r="K32" s="6">
        <v>3</v>
      </c>
      <c r="L32" s="6">
        <v>2</v>
      </c>
      <c r="M32" s="6">
        <v>0</v>
      </c>
      <c r="N32" s="6">
        <v>0</v>
      </c>
      <c r="O32" s="6">
        <v>8</v>
      </c>
      <c r="P32" s="6">
        <v>0</v>
      </c>
      <c r="Q32" s="6">
        <v>0.67</v>
      </c>
      <c r="R32" s="6">
        <v>0.33</v>
      </c>
      <c r="S32" s="6">
        <v>1</v>
      </c>
      <c r="T32" s="6">
        <v>0.67</v>
      </c>
      <c r="U32" s="6">
        <v>1</v>
      </c>
    </row>
    <row r="33" spans="1:21">
      <c r="A33" s="7" t="s">
        <v>101</v>
      </c>
      <c r="B33" s="6">
        <v>20</v>
      </c>
      <c r="C33" s="6">
        <v>24.5</v>
      </c>
      <c r="D33" s="6">
        <v>53</v>
      </c>
      <c r="E33" s="6">
        <v>4</v>
      </c>
      <c r="F33" s="6">
        <v>44</v>
      </c>
      <c r="G33" s="6">
        <v>360</v>
      </c>
      <c r="H33" s="6">
        <v>4</v>
      </c>
      <c r="I33" s="6">
        <v>3</v>
      </c>
      <c r="J33" s="6">
        <v>3</v>
      </c>
      <c r="K33" s="6">
        <v>6</v>
      </c>
      <c r="L33" s="6">
        <v>3</v>
      </c>
      <c r="M33" s="6">
        <v>0</v>
      </c>
      <c r="N33" s="6">
        <v>0</v>
      </c>
      <c r="O33" s="6">
        <v>5</v>
      </c>
      <c r="P33" s="6">
        <v>0</v>
      </c>
      <c r="Q33" s="6">
        <v>0.75</v>
      </c>
      <c r="R33" s="6">
        <v>0.75</v>
      </c>
      <c r="S33" s="6">
        <v>1.5</v>
      </c>
      <c r="T33" s="6">
        <v>0.75</v>
      </c>
      <c r="U33" s="6">
        <v>1.5</v>
      </c>
    </row>
    <row r="34" spans="1:21">
      <c r="A34" s="7" t="s">
        <v>344</v>
      </c>
      <c r="B34" s="6">
        <v>18</v>
      </c>
      <c r="C34" s="6">
        <v>26.8</v>
      </c>
      <c r="D34" s="6">
        <v>46.7</v>
      </c>
      <c r="E34" s="6">
        <v>3</v>
      </c>
      <c r="F34" s="6">
        <v>33</v>
      </c>
      <c r="G34" s="6">
        <v>270</v>
      </c>
      <c r="H34" s="6">
        <v>3</v>
      </c>
      <c r="I34" s="6">
        <v>1</v>
      </c>
      <c r="J34" s="6">
        <v>0</v>
      </c>
      <c r="K34" s="6">
        <v>1</v>
      </c>
      <c r="L34" s="6">
        <v>0</v>
      </c>
      <c r="M34" s="6">
        <v>1</v>
      </c>
      <c r="N34" s="6">
        <v>1</v>
      </c>
      <c r="O34" s="6">
        <v>5</v>
      </c>
      <c r="P34" s="6">
        <v>1</v>
      </c>
      <c r="Q34" s="6">
        <v>0.33</v>
      </c>
      <c r="R34" s="6">
        <v>0</v>
      </c>
      <c r="S34" s="6">
        <v>0.33</v>
      </c>
      <c r="T34" s="6">
        <v>0</v>
      </c>
      <c r="U34" s="6">
        <v>0</v>
      </c>
    </row>
  </sheetData>
  <mergeCells count="4">
    <mergeCell ref="A1:D1"/>
    <mergeCell ref="E1:H1"/>
    <mergeCell ref="I1:P1"/>
    <mergeCell ref="Q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0045-2667-B14A-A971-50E906895F20}">
  <dimension ref="A1:P105"/>
  <sheetViews>
    <sheetView topLeftCell="C1" workbookViewId="0">
      <selection activeCell="P2" sqref="P2"/>
    </sheetView>
  </sheetViews>
  <sheetFormatPr baseColWidth="10" defaultColWidth="8.83203125" defaultRowHeight="16"/>
  <cols>
    <col min="1" max="1" width="13.6640625" bestFit="1" customWidth="1"/>
    <col min="2" max="2" width="3.33203125" bestFit="1" customWidth="1"/>
    <col min="3" max="3" width="4.1640625" bestFit="1" customWidth="1"/>
    <col min="4" max="4" width="8" bestFit="1" customWidth="1"/>
    <col min="5" max="5" width="10.1640625" bestFit="1" customWidth="1"/>
    <col min="6" max="6" width="13.33203125" bestFit="1" customWidth="1"/>
    <col min="7" max="7" width="7.83203125" bestFit="1" customWidth="1"/>
    <col min="8" max="8" width="12.6640625" bestFit="1" customWidth="1"/>
    <col min="9" max="9" width="9" bestFit="1" customWidth="1"/>
    <col min="10" max="10" width="33" bestFit="1" customWidth="1"/>
    <col min="11" max="11" width="21.83203125" bestFit="1" customWidth="1"/>
    <col min="12" max="12" width="10.1640625" bestFit="1" customWidth="1"/>
    <col min="13" max="13" width="35.33203125" bestFit="1" customWidth="1"/>
  </cols>
  <sheetData>
    <row r="1" spans="1:16">
      <c r="A1" s="7" t="s">
        <v>167</v>
      </c>
      <c r="B1" s="7" t="s">
        <v>168</v>
      </c>
      <c r="C1" s="7" t="s">
        <v>169</v>
      </c>
      <c r="D1" s="7" t="s">
        <v>1</v>
      </c>
      <c r="E1" s="7" t="s">
        <v>170</v>
      </c>
      <c r="F1" s="7" t="s">
        <v>171</v>
      </c>
      <c r="G1" s="7" t="s">
        <v>172</v>
      </c>
      <c r="H1" s="7" t="s">
        <v>173</v>
      </c>
      <c r="I1" s="7" t="s">
        <v>174</v>
      </c>
      <c r="J1" s="7" t="s">
        <v>175</v>
      </c>
      <c r="K1" s="7" t="s">
        <v>176</v>
      </c>
      <c r="L1" s="7" t="s">
        <v>177</v>
      </c>
      <c r="M1" s="7" t="s">
        <v>178</v>
      </c>
      <c r="N1" s="7" t="s">
        <v>5</v>
      </c>
      <c r="O1" s="7" t="s">
        <v>6</v>
      </c>
      <c r="P1" s="7" t="s">
        <v>7</v>
      </c>
    </row>
    <row r="2" spans="1:16">
      <c r="A2" s="7" t="s">
        <v>108</v>
      </c>
      <c r="B2" s="6">
        <v>1</v>
      </c>
      <c r="C2" s="6" t="s">
        <v>179</v>
      </c>
      <c r="D2" s="2">
        <v>46184</v>
      </c>
      <c r="E2" s="6" t="s">
        <v>180</v>
      </c>
      <c r="F2" s="5" t="s">
        <v>12</v>
      </c>
      <c r="G2" s="6" t="s">
        <v>181</v>
      </c>
      <c r="H2" s="6" t="s">
        <v>60</v>
      </c>
      <c r="I2" s="9">
        <v>80824</v>
      </c>
      <c r="J2" s="6" t="s">
        <v>182</v>
      </c>
      <c r="K2" s="6" t="s">
        <v>183</v>
      </c>
      <c r="L2" s="6" t="s">
        <v>177</v>
      </c>
      <c r="M2" s="10"/>
      <c r="N2">
        <f>VALUE(TRIM(RIGHT(LEFT(SUBSTITUTE(G2,_xlfn.UNICHAR(8211),"-"),FIND("-",SUBSTITUTE(G2,_xlfn.UNICHAR(8211),"-"))-1),2)))</f>
        <v>2</v>
      </c>
      <c r="O2">
        <f>VALUE(TRIM(LEFT(MID(SUBSTITUTE(G2,_xlfn.UNICHAR(8211),"-"),FIND("-",SUBSTITUTE(G2,_xlfn.UNICHAR(8211),"-"))+1,100),2)))</f>
        <v>0</v>
      </c>
      <c r="P2" t="str">
        <f>IF(LEFT(TRIM(G2),1)="(",MID(TRIM(G2),2,FIND(")",TRIM(G2))-2)&amp;"-"&amp;MID(TRIM(G2),FIND("(",TRIM(G2),2)+1,LEN(TRIM(G2))-FIND("(",TRIM(G2),2)-1),"")</f>
        <v/>
      </c>
    </row>
    <row r="3" spans="1:16">
      <c r="A3" s="7" t="s">
        <v>108</v>
      </c>
      <c r="B3" s="6">
        <v>1</v>
      </c>
      <c r="C3" s="6" t="s">
        <v>179</v>
      </c>
      <c r="D3" s="2">
        <v>46184</v>
      </c>
      <c r="E3" s="6" t="s">
        <v>184</v>
      </c>
      <c r="F3" s="5" t="s">
        <v>13</v>
      </c>
      <c r="G3" s="6" t="s">
        <v>185</v>
      </c>
      <c r="H3" s="6" t="s">
        <v>61</v>
      </c>
      <c r="I3" s="9">
        <v>44985</v>
      </c>
      <c r="J3" s="6" t="s">
        <v>186</v>
      </c>
      <c r="K3" s="6" t="s">
        <v>187</v>
      </c>
      <c r="L3" s="6" t="s">
        <v>177</v>
      </c>
      <c r="M3" s="10"/>
      <c r="N3">
        <f t="shared" ref="N3:N66" si="0">VALUE(TRIM(RIGHT(LEFT(SUBSTITUTE(G3,_xlfn.UNICHAR(8211),"-"),FIND("-",SUBSTITUTE(G3,_xlfn.UNICHAR(8211),"-"))-1),2)))</f>
        <v>2</v>
      </c>
      <c r="O3">
        <f t="shared" ref="O3:O66" si="1">VALUE(TRIM(LEFT(MID(SUBSTITUTE(G3,_xlfn.UNICHAR(8211),"-"),FIND("-",SUBSTITUTE(G3,_xlfn.UNICHAR(8211),"-"))+1,100),2)))</f>
        <v>1</v>
      </c>
      <c r="P3" t="str">
        <f t="shared" ref="P3:P66" si="2">IF(LEFT(TRIM(G3),1)="(",MID(TRIM(G3),2,FIND(")",TRIM(G3))-2)&amp;"-"&amp;MID(TRIM(G3),FIND("(",TRIM(G3),2)+1,LEN(TRIM(G3))-FIND("(",TRIM(G3),2)-1),"")</f>
        <v/>
      </c>
    </row>
    <row r="4" spans="1:16">
      <c r="A4" s="7" t="s">
        <v>108</v>
      </c>
      <c r="B4" s="6">
        <v>1</v>
      </c>
      <c r="C4" s="6" t="s">
        <v>188</v>
      </c>
      <c r="D4" s="2">
        <v>46185</v>
      </c>
      <c r="E4" s="6" t="s">
        <v>189</v>
      </c>
      <c r="F4" s="6" t="s">
        <v>14</v>
      </c>
      <c r="G4" s="6" t="s">
        <v>190</v>
      </c>
      <c r="H4" s="6" t="s">
        <v>62</v>
      </c>
      <c r="I4" s="9">
        <v>43002</v>
      </c>
      <c r="J4" s="6" t="s">
        <v>191</v>
      </c>
      <c r="K4" s="6" t="s">
        <v>192</v>
      </c>
      <c r="L4" s="6" t="s">
        <v>177</v>
      </c>
      <c r="M4" s="10"/>
      <c r="N4">
        <f t="shared" si="0"/>
        <v>1</v>
      </c>
      <c r="O4">
        <f t="shared" si="1"/>
        <v>1</v>
      </c>
      <c r="P4" t="str">
        <f t="shared" si="2"/>
        <v/>
      </c>
    </row>
    <row r="5" spans="1:16">
      <c r="A5" s="7" t="s">
        <v>108</v>
      </c>
      <c r="B5" s="6">
        <v>1</v>
      </c>
      <c r="C5" s="6" t="s">
        <v>188</v>
      </c>
      <c r="D5" s="2">
        <v>46185</v>
      </c>
      <c r="E5" s="6" t="s">
        <v>193</v>
      </c>
      <c r="F5" s="5" t="s">
        <v>15</v>
      </c>
      <c r="G5" s="6" t="s">
        <v>194</v>
      </c>
      <c r="H5" s="6" t="s">
        <v>63</v>
      </c>
      <c r="I5" s="9">
        <v>70492</v>
      </c>
      <c r="J5" s="6" t="s">
        <v>195</v>
      </c>
      <c r="K5" s="6" t="s">
        <v>196</v>
      </c>
      <c r="L5" s="6" t="s">
        <v>177</v>
      </c>
      <c r="M5" s="10"/>
      <c r="N5">
        <f t="shared" si="0"/>
        <v>4</v>
      </c>
      <c r="O5">
        <f t="shared" si="1"/>
        <v>1</v>
      </c>
      <c r="P5" t="str">
        <f t="shared" si="2"/>
        <v/>
      </c>
    </row>
    <row r="6" spans="1:16">
      <c r="A6" s="7" t="s">
        <v>108</v>
      </c>
      <c r="B6" s="6">
        <v>1</v>
      </c>
      <c r="C6" s="6" t="s">
        <v>197</v>
      </c>
      <c r="D6" s="2">
        <v>46186</v>
      </c>
      <c r="E6" s="6" t="s">
        <v>198</v>
      </c>
      <c r="F6" s="6" t="s">
        <v>16</v>
      </c>
      <c r="G6" s="6" t="s">
        <v>190</v>
      </c>
      <c r="H6" s="6" t="s">
        <v>64</v>
      </c>
      <c r="I6" s="9">
        <v>67966</v>
      </c>
      <c r="J6" s="6" t="s">
        <v>199</v>
      </c>
      <c r="K6" s="6" t="s">
        <v>200</v>
      </c>
      <c r="L6" s="6" t="s">
        <v>177</v>
      </c>
      <c r="M6" s="10"/>
      <c r="N6">
        <f t="shared" si="0"/>
        <v>1</v>
      </c>
      <c r="O6">
        <f t="shared" si="1"/>
        <v>1</v>
      </c>
      <c r="P6" t="str">
        <f t="shared" si="2"/>
        <v/>
      </c>
    </row>
    <row r="7" spans="1:16">
      <c r="A7" s="7" t="s">
        <v>108</v>
      </c>
      <c r="B7" s="6">
        <v>1</v>
      </c>
      <c r="C7" s="6" t="s">
        <v>197</v>
      </c>
      <c r="D7" s="2">
        <v>46186</v>
      </c>
      <c r="E7" s="6" t="s">
        <v>201</v>
      </c>
      <c r="F7" s="6" t="s">
        <v>17</v>
      </c>
      <c r="G7" s="6" t="s">
        <v>190</v>
      </c>
      <c r="H7" s="6" t="s">
        <v>65</v>
      </c>
      <c r="I7" s="9">
        <v>80663</v>
      </c>
      <c r="J7" s="6" t="s">
        <v>202</v>
      </c>
      <c r="K7" s="6" t="s">
        <v>203</v>
      </c>
      <c r="L7" s="6" t="s">
        <v>177</v>
      </c>
      <c r="M7" s="10"/>
      <c r="N7">
        <f t="shared" si="0"/>
        <v>1</v>
      </c>
      <c r="O7">
        <f t="shared" si="1"/>
        <v>1</v>
      </c>
      <c r="P7" t="str">
        <f t="shared" si="2"/>
        <v/>
      </c>
    </row>
    <row r="8" spans="1:16">
      <c r="A8" s="7" t="s">
        <v>108</v>
      </c>
      <c r="B8" s="6">
        <v>1</v>
      </c>
      <c r="C8" s="6" t="s">
        <v>197</v>
      </c>
      <c r="D8" s="2">
        <v>46186</v>
      </c>
      <c r="E8" s="6" t="s">
        <v>204</v>
      </c>
      <c r="F8" s="5" t="s">
        <v>18</v>
      </c>
      <c r="G8" s="6" t="s">
        <v>181</v>
      </c>
      <c r="H8" s="6" t="s">
        <v>66</v>
      </c>
      <c r="I8" s="9">
        <v>52497</v>
      </c>
      <c r="J8" s="6" t="s">
        <v>205</v>
      </c>
      <c r="K8" s="6" t="s">
        <v>206</v>
      </c>
      <c r="L8" s="6" t="s">
        <v>177</v>
      </c>
      <c r="M8" s="10"/>
      <c r="N8">
        <f t="shared" si="0"/>
        <v>2</v>
      </c>
      <c r="O8">
        <f t="shared" si="1"/>
        <v>0</v>
      </c>
      <c r="P8" t="str">
        <f t="shared" si="2"/>
        <v/>
      </c>
    </row>
    <row r="9" spans="1:16">
      <c r="A9" s="7" t="s">
        <v>108</v>
      </c>
      <c r="B9" s="6">
        <v>1</v>
      </c>
      <c r="C9" s="6" t="s">
        <v>197</v>
      </c>
      <c r="D9" s="2">
        <v>46186</v>
      </c>
      <c r="E9" s="6" t="s">
        <v>207</v>
      </c>
      <c r="F9" s="6" t="s">
        <v>19</v>
      </c>
      <c r="G9" s="6" t="s">
        <v>208</v>
      </c>
      <c r="H9" s="5" t="s">
        <v>67</v>
      </c>
      <c r="I9" s="9">
        <v>64146</v>
      </c>
      <c r="J9" s="6" t="s">
        <v>209</v>
      </c>
      <c r="K9" s="6" t="s">
        <v>210</v>
      </c>
      <c r="L9" s="6" t="s">
        <v>177</v>
      </c>
      <c r="M9" s="10"/>
      <c r="N9">
        <f t="shared" si="0"/>
        <v>0</v>
      </c>
      <c r="O9">
        <f t="shared" si="1"/>
        <v>1</v>
      </c>
      <c r="P9" t="str">
        <f t="shared" si="2"/>
        <v/>
      </c>
    </row>
    <row r="10" spans="1:16">
      <c r="A10" s="7" t="s">
        <v>108</v>
      </c>
      <c r="B10" s="6">
        <v>1</v>
      </c>
      <c r="C10" s="6" t="s">
        <v>211</v>
      </c>
      <c r="D10" s="2">
        <v>46187</v>
      </c>
      <c r="E10" s="6" t="s">
        <v>212</v>
      </c>
      <c r="F10" s="5" t="s">
        <v>20</v>
      </c>
      <c r="G10" s="6" t="s">
        <v>213</v>
      </c>
      <c r="H10" s="6" t="s">
        <v>68</v>
      </c>
      <c r="I10" s="9">
        <v>68021</v>
      </c>
      <c r="J10" s="6" t="s">
        <v>214</v>
      </c>
      <c r="K10" s="6" t="s">
        <v>215</v>
      </c>
      <c r="L10" s="6" t="s">
        <v>177</v>
      </c>
      <c r="M10" s="10"/>
      <c r="N10">
        <f t="shared" si="0"/>
        <v>7</v>
      </c>
      <c r="O10">
        <f t="shared" si="1"/>
        <v>1</v>
      </c>
      <c r="P10" t="str">
        <f t="shared" si="2"/>
        <v/>
      </c>
    </row>
    <row r="11" spans="1:16">
      <c r="A11" s="7" t="s">
        <v>108</v>
      </c>
      <c r="B11" s="6">
        <v>1</v>
      </c>
      <c r="C11" s="6" t="s">
        <v>211</v>
      </c>
      <c r="D11" s="2">
        <v>46187</v>
      </c>
      <c r="E11" s="6" t="s">
        <v>216</v>
      </c>
      <c r="F11" s="6" t="s">
        <v>21</v>
      </c>
      <c r="G11" s="6" t="s">
        <v>217</v>
      </c>
      <c r="H11" s="6" t="s">
        <v>69</v>
      </c>
      <c r="I11" s="9">
        <v>69285</v>
      </c>
      <c r="J11" s="6" t="s">
        <v>218</v>
      </c>
      <c r="K11" s="6" t="s">
        <v>219</v>
      </c>
      <c r="L11" s="6" t="s">
        <v>177</v>
      </c>
      <c r="M11" s="10"/>
      <c r="N11">
        <f t="shared" si="0"/>
        <v>2</v>
      </c>
      <c r="O11">
        <f t="shared" si="1"/>
        <v>2</v>
      </c>
      <c r="P11" t="str">
        <f t="shared" si="2"/>
        <v/>
      </c>
    </row>
    <row r="12" spans="1:16">
      <c r="A12" s="7" t="s">
        <v>108</v>
      </c>
      <c r="B12" s="6">
        <v>1</v>
      </c>
      <c r="C12" s="6" t="s">
        <v>211</v>
      </c>
      <c r="D12" s="2">
        <v>46187</v>
      </c>
      <c r="E12" s="6" t="s">
        <v>220</v>
      </c>
      <c r="F12" s="5" t="s">
        <v>22</v>
      </c>
      <c r="G12" s="6" t="s">
        <v>221</v>
      </c>
      <c r="H12" s="6" t="s">
        <v>70</v>
      </c>
      <c r="I12" s="9">
        <v>68274</v>
      </c>
      <c r="J12" s="6" t="s">
        <v>222</v>
      </c>
      <c r="K12" s="6" t="s">
        <v>223</v>
      </c>
      <c r="L12" s="6" t="s">
        <v>177</v>
      </c>
      <c r="M12" s="10"/>
      <c r="N12">
        <f t="shared" si="0"/>
        <v>1</v>
      </c>
      <c r="O12">
        <f t="shared" si="1"/>
        <v>0</v>
      </c>
      <c r="P12" t="str">
        <f t="shared" si="2"/>
        <v/>
      </c>
    </row>
    <row r="13" spans="1:16">
      <c r="A13" s="7" t="s">
        <v>108</v>
      </c>
      <c r="B13" s="6">
        <v>1</v>
      </c>
      <c r="C13" s="6" t="s">
        <v>211</v>
      </c>
      <c r="D13" s="2">
        <v>46187</v>
      </c>
      <c r="E13" s="6" t="s">
        <v>184</v>
      </c>
      <c r="F13" s="5" t="s">
        <v>23</v>
      </c>
      <c r="G13" s="6" t="s">
        <v>224</v>
      </c>
      <c r="H13" s="6" t="s">
        <v>71</v>
      </c>
      <c r="I13" s="9">
        <v>50987</v>
      </c>
      <c r="J13" s="6" t="s">
        <v>225</v>
      </c>
      <c r="K13" s="6" t="s">
        <v>226</v>
      </c>
      <c r="L13" s="6" t="s">
        <v>177</v>
      </c>
      <c r="M13" s="10"/>
      <c r="N13">
        <f t="shared" si="0"/>
        <v>5</v>
      </c>
      <c r="O13">
        <f t="shared" si="1"/>
        <v>1</v>
      </c>
      <c r="P13" t="str">
        <f t="shared" si="2"/>
        <v/>
      </c>
    </row>
    <row r="14" spans="1:16">
      <c r="A14" s="7" t="s">
        <v>108</v>
      </c>
      <c r="B14" s="6">
        <v>1</v>
      </c>
      <c r="C14" s="6" t="s">
        <v>227</v>
      </c>
      <c r="D14" s="2">
        <v>46188</v>
      </c>
      <c r="E14" s="6" t="s">
        <v>198</v>
      </c>
      <c r="F14" s="6" t="s">
        <v>24</v>
      </c>
      <c r="G14" s="6" t="s">
        <v>190</v>
      </c>
      <c r="H14" s="6" t="s">
        <v>72</v>
      </c>
      <c r="I14" s="9">
        <v>66775</v>
      </c>
      <c r="J14" s="6" t="s">
        <v>228</v>
      </c>
      <c r="K14" s="6" t="s">
        <v>229</v>
      </c>
      <c r="L14" s="6" t="s">
        <v>177</v>
      </c>
      <c r="M14" s="10"/>
      <c r="N14">
        <f t="shared" si="0"/>
        <v>1</v>
      </c>
      <c r="O14">
        <f t="shared" si="1"/>
        <v>1</v>
      </c>
      <c r="P14" t="str">
        <f t="shared" si="2"/>
        <v/>
      </c>
    </row>
    <row r="15" spans="1:16">
      <c r="A15" s="7" t="s">
        <v>108</v>
      </c>
      <c r="B15" s="6">
        <v>1</v>
      </c>
      <c r="C15" s="6" t="s">
        <v>227</v>
      </c>
      <c r="D15" s="2">
        <v>46188</v>
      </c>
      <c r="E15" s="6" t="s">
        <v>230</v>
      </c>
      <c r="F15" s="6" t="s">
        <v>25</v>
      </c>
      <c r="G15" s="6" t="s">
        <v>231</v>
      </c>
      <c r="H15" s="6" t="s">
        <v>73</v>
      </c>
      <c r="I15" s="9">
        <v>67640</v>
      </c>
      <c r="J15" s="6" t="s">
        <v>232</v>
      </c>
      <c r="K15" s="6" t="s">
        <v>233</v>
      </c>
      <c r="L15" s="6" t="s">
        <v>177</v>
      </c>
      <c r="M15" s="10"/>
      <c r="N15">
        <f t="shared" si="0"/>
        <v>0</v>
      </c>
      <c r="O15">
        <f t="shared" si="1"/>
        <v>0</v>
      </c>
      <c r="P15" t="str">
        <f t="shared" si="2"/>
        <v/>
      </c>
    </row>
    <row r="16" spans="1:16">
      <c r="A16" s="7" t="s">
        <v>108</v>
      </c>
      <c r="B16" s="6">
        <v>1</v>
      </c>
      <c r="C16" s="6" t="s">
        <v>227</v>
      </c>
      <c r="D16" s="2">
        <v>46188</v>
      </c>
      <c r="E16" s="6" t="s">
        <v>201</v>
      </c>
      <c r="F16" s="6" t="s">
        <v>26</v>
      </c>
      <c r="G16" s="6" t="s">
        <v>190</v>
      </c>
      <c r="H16" s="6" t="s">
        <v>74</v>
      </c>
      <c r="I16" s="9">
        <v>62764</v>
      </c>
      <c r="J16" s="6" t="s">
        <v>234</v>
      </c>
      <c r="K16" s="6" t="s">
        <v>235</v>
      </c>
      <c r="L16" s="6" t="s">
        <v>177</v>
      </c>
      <c r="M16" s="10"/>
      <c r="N16">
        <f t="shared" si="0"/>
        <v>1</v>
      </c>
      <c r="O16">
        <f t="shared" si="1"/>
        <v>1</v>
      </c>
      <c r="P16" t="str">
        <f t="shared" si="2"/>
        <v/>
      </c>
    </row>
    <row r="17" spans="1:16">
      <c r="A17" s="7" t="s">
        <v>108</v>
      </c>
      <c r="B17" s="6">
        <v>1</v>
      </c>
      <c r="C17" s="6" t="s">
        <v>227</v>
      </c>
      <c r="D17" s="2">
        <v>46188</v>
      </c>
      <c r="E17" s="6" t="s">
        <v>193</v>
      </c>
      <c r="F17" s="6" t="s">
        <v>27</v>
      </c>
      <c r="G17" s="6" t="s">
        <v>217</v>
      </c>
      <c r="H17" s="6" t="s">
        <v>75</v>
      </c>
      <c r="I17" s="9">
        <v>70108</v>
      </c>
      <c r="J17" s="6" t="s">
        <v>195</v>
      </c>
      <c r="K17" s="6" t="s">
        <v>236</v>
      </c>
      <c r="L17" s="6" t="s">
        <v>177</v>
      </c>
      <c r="M17" s="10"/>
      <c r="N17">
        <f t="shared" si="0"/>
        <v>2</v>
      </c>
      <c r="O17">
        <f t="shared" si="1"/>
        <v>2</v>
      </c>
      <c r="P17" t="str">
        <f t="shared" si="2"/>
        <v/>
      </c>
    </row>
    <row r="18" spans="1:16">
      <c r="A18" s="7" t="s">
        <v>108</v>
      </c>
      <c r="B18" s="6">
        <v>1</v>
      </c>
      <c r="C18" s="6" t="s">
        <v>237</v>
      </c>
      <c r="D18" s="2">
        <v>46189</v>
      </c>
      <c r="E18" s="6" t="s">
        <v>189</v>
      </c>
      <c r="F18" s="5" t="s">
        <v>28</v>
      </c>
      <c r="G18" s="6" t="s">
        <v>238</v>
      </c>
      <c r="H18" s="6" t="s">
        <v>76</v>
      </c>
      <c r="I18" s="9">
        <v>80545</v>
      </c>
      <c r="J18" s="6" t="s">
        <v>202</v>
      </c>
      <c r="K18" s="6" t="s">
        <v>239</v>
      </c>
      <c r="L18" s="6" t="s">
        <v>177</v>
      </c>
      <c r="M18" s="10"/>
      <c r="N18">
        <f t="shared" si="0"/>
        <v>3</v>
      </c>
      <c r="O18">
        <f t="shared" si="1"/>
        <v>1</v>
      </c>
      <c r="P18" t="str">
        <f t="shared" si="2"/>
        <v/>
      </c>
    </row>
    <row r="19" spans="1:16">
      <c r="A19" s="7" t="s">
        <v>108</v>
      </c>
      <c r="B19" s="6">
        <v>1</v>
      </c>
      <c r="C19" s="6" t="s">
        <v>237</v>
      </c>
      <c r="D19" s="2">
        <v>46189</v>
      </c>
      <c r="E19" s="6" t="s">
        <v>201</v>
      </c>
      <c r="F19" s="6" t="s">
        <v>29</v>
      </c>
      <c r="G19" s="6" t="s">
        <v>240</v>
      </c>
      <c r="H19" s="5" t="s">
        <v>77</v>
      </c>
      <c r="I19" s="9">
        <v>63106</v>
      </c>
      <c r="J19" s="6" t="s">
        <v>209</v>
      </c>
      <c r="K19" s="6" t="s">
        <v>241</v>
      </c>
      <c r="L19" s="6" t="s">
        <v>177</v>
      </c>
      <c r="M19" s="10"/>
      <c r="N19">
        <f t="shared" si="0"/>
        <v>1</v>
      </c>
      <c r="O19">
        <f t="shared" si="1"/>
        <v>4</v>
      </c>
      <c r="P19" t="str">
        <f t="shared" si="2"/>
        <v/>
      </c>
    </row>
    <row r="20" spans="1:16">
      <c r="A20" s="7" t="s">
        <v>108</v>
      </c>
      <c r="B20" s="6">
        <v>1</v>
      </c>
      <c r="C20" s="6" t="s">
        <v>237</v>
      </c>
      <c r="D20" s="2">
        <v>46189</v>
      </c>
      <c r="E20" s="6" t="s">
        <v>242</v>
      </c>
      <c r="F20" s="5" t="s">
        <v>30</v>
      </c>
      <c r="G20" s="6" t="s">
        <v>243</v>
      </c>
      <c r="H20" s="6" t="s">
        <v>78</v>
      </c>
      <c r="I20" s="9">
        <v>69045</v>
      </c>
      <c r="J20" s="6" t="s">
        <v>244</v>
      </c>
      <c r="K20" s="6" t="s">
        <v>245</v>
      </c>
      <c r="L20" s="6" t="s">
        <v>177</v>
      </c>
      <c r="M20" s="10"/>
      <c r="N20">
        <f t="shared" si="0"/>
        <v>3</v>
      </c>
      <c r="O20">
        <f t="shared" si="1"/>
        <v>0</v>
      </c>
      <c r="P20" t="str">
        <f t="shared" si="2"/>
        <v/>
      </c>
    </row>
    <row r="21" spans="1:16">
      <c r="A21" s="7" t="s">
        <v>108</v>
      </c>
      <c r="B21" s="6">
        <v>1</v>
      </c>
      <c r="C21" s="6" t="s">
        <v>237</v>
      </c>
      <c r="D21" s="2">
        <v>46189</v>
      </c>
      <c r="E21" s="6" t="s">
        <v>204</v>
      </c>
      <c r="F21" s="5" t="s">
        <v>31</v>
      </c>
      <c r="G21" s="6" t="s">
        <v>238</v>
      </c>
      <c r="H21" s="6" t="s">
        <v>79</v>
      </c>
      <c r="I21" s="9">
        <v>68527</v>
      </c>
      <c r="J21" s="6" t="s">
        <v>199</v>
      </c>
      <c r="K21" s="6" t="s">
        <v>246</v>
      </c>
      <c r="L21" s="6" t="s">
        <v>177</v>
      </c>
      <c r="M21" s="10"/>
      <c r="N21">
        <f t="shared" si="0"/>
        <v>3</v>
      </c>
      <c r="O21">
        <f t="shared" si="1"/>
        <v>1</v>
      </c>
      <c r="P21" t="str">
        <f t="shared" si="2"/>
        <v/>
      </c>
    </row>
    <row r="22" spans="1:16">
      <c r="A22" s="7" t="s">
        <v>108</v>
      </c>
      <c r="B22" s="6">
        <v>1</v>
      </c>
      <c r="C22" s="6" t="s">
        <v>247</v>
      </c>
      <c r="D22" s="2">
        <v>46190</v>
      </c>
      <c r="E22" s="6" t="s">
        <v>212</v>
      </c>
      <c r="F22" s="6" t="s">
        <v>32</v>
      </c>
      <c r="G22" s="6" t="s">
        <v>190</v>
      </c>
      <c r="H22" s="6" t="s">
        <v>80</v>
      </c>
      <c r="I22" s="9">
        <v>68777</v>
      </c>
      <c r="J22" s="6" t="s">
        <v>214</v>
      </c>
      <c r="K22" s="6" t="s">
        <v>248</v>
      </c>
      <c r="L22" s="6" t="s">
        <v>177</v>
      </c>
      <c r="M22" s="10"/>
      <c r="N22">
        <f t="shared" si="0"/>
        <v>1</v>
      </c>
      <c r="O22">
        <f t="shared" si="1"/>
        <v>1</v>
      </c>
      <c r="P22" t="str">
        <f t="shared" si="2"/>
        <v/>
      </c>
    </row>
    <row r="23" spans="1:16">
      <c r="A23" s="7" t="s">
        <v>108</v>
      </c>
      <c r="B23" s="6">
        <v>1</v>
      </c>
      <c r="C23" s="6" t="s">
        <v>247</v>
      </c>
      <c r="D23" s="2">
        <v>46190</v>
      </c>
      <c r="E23" s="6" t="s">
        <v>216</v>
      </c>
      <c r="F23" s="5" t="s">
        <v>33</v>
      </c>
      <c r="G23" s="6" t="s">
        <v>249</v>
      </c>
      <c r="H23" s="6" t="s">
        <v>81</v>
      </c>
      <c r="I23" s="9">
        <v>70389</v>
      </c>
      <c r="J23" s="6" t="s">
        <v>218</v>
      </c>
      <c r="K23" s="6" t="s">
        <v>250</v>
      </c>
      <c r="L23" s="6" t="s">
        <v>177</v>
      </c>
      <c r="M23" s="10"/>
      <c r="N23">
        <f t="shared" si="0"/>
        <v>4</v>
      </c>
      <c r="O23">
        <f t="shared" si="1"/>
        <v>2</v>
      </c>
      <c r="P23" t="str">
        <f t="shared" si="2"/>
        <v/>
      </c>
    </row>
    <row r="24" spans="1:16">
      <c r="A24" s="7" t="s">
        <v>108</v>
      </c>
      <c r="B24" s="6">
        <v>1</v>
      </c>
      <c r="C24" s="6" t="s">
        <v>247</v>
      </c>
      <c r="D24" s="2">
        <v>46190</v>
      </c>
      <c r="E24" s="6" t="s">
        <v>220</v>
      </c>
      <c r="F24" s="5" t="s">
        <v>34</v>
      </c>
      <c r="G24" s="6" t="s">
        <v>221</v>
      </c>
      <c r="H24" s="6" t="s">
        <v>82</v>
      </c>
      <c r="I24" s="9">
        <v>42942</v>
      </c>
      <c r="J24" s="6" t="s">
        <v>191</v>
      </c>
      <c r="K24" s="6" t="s">
        <v>251</v>
      </c>
      <c r="L24" s="6" t="s">
        <v>177</v>
      </c>
      <c r="M24" s="10"/>
      <c r="N24">
        <f t="shared" si="0"/>
        <v>1</v>
      </c>
      <c r="O24">
        <f t="shared" si="1"/>
        <v>0</v>
      </c>
      <c r="P24" t="str">
        <f t="shared" si="2"/>
        <v/>
      </c>
    </row>
    <row r="25" spans="1:16">
      <c r="A25" s="7" t="s">
        <v>108</v>
      </c>
      <c r="B25" s="6">
        <v>1</v>
      </c>
      <c r="C25" s="6" t="s">
        <v>247</v>
      </c>
      <c r="D25" s="2">
        <v>46190</v>
      </c>
      <c r="E25" s="6" t="s">
        <v>184</v>
      </c>
      <c r="F25" s="6" t="s">
        <v>35</v>
      </c>
      <c r="G25" s="6" t="s">
        <v>252</v>
      </c>
      <c r="H25" s="5" t="s">
        <v>83</v>
      </c>
      <c r="I25" s="9">
        <v>80824</v>
      </c>
      <c r="J25" s="6" t="s">
        <v>182</v>
      </c>
      <c r="K25" s="6" t="s">
        <v>253</v>
      </c>
      <c r="L25" s="6" t="s">
        <v>177</v>
      </c>
      <c r="M25" s="10"/>
      <c r="N25">
        <f t="shared" si="0"/>
        <v>1</v>
      </c>
      <c r="O25">
        <f t="shared" si="1"/>
        <v>3</v>
      </c>
      <c r="P25" t="str">
        <f t="shared" si="2"/>
        <v/>
      </c>
    </row>
    <row r="26" spans="1:16">
      <c r="A26" s="7" t="s">
        <v>108</v>
      </c>
      <c r="B26" s="6">
        <v>2</v>
      </c>
      <c r="C26" s="6" t="s">
        <v>179</v>
      </c>
      <c r="D26" s="2">
        <v>46191</v>
      </c>
      <c r="E26" s="6" t="s">
        <v>230</v>
      </c>
      <c r="F26" s="6" t="s">
        <v>36</v>
      </c>
      <c r="G26" s="6" t="s">
        <v>190</v>
      </c>
      <c r="H26" s="6" t="s">
        <v>60</v>
      </c>
      <c r="I26" s="9">
        <v>67442</v>
      </c>
      <c r="J26" s="6" t="s">
        <v>232</v>
      </c>
      <c r="K26" s="6" t="s">
        <v>254</v>
      </c>
      <c r="L26" s="6" t="s">
        <v>177</v>
      </c>
      <c r="M26" s="10"/>
      <c r="N26">
        <f t="shared" si="0"/>
        <v>1</v>
      </c>
      <c r="O26">
        <f t="shared" si="1"/>
        <v>1</v>
      </c>
      <c r="P26" t="str">
        <f t="shared" si="2"/>
        <v/>
      </c>
    </row>
    <row r="27" spans="1:16">
      <c r="A27" s="7" t="s">
        <v>108</v>
      </c>
      <c r="B27" s="6">
        <v>2</v>
      </c>
      <c r="C27" s="6" t="s">
        <v>179</v>
      </c>
      <c r="D27" s="2">
        <v>46191</v>
      </c>
      <c r="E27" s="6" t="s">
        <v>198</v>
      </c>
      <c r="F27" s="5" t="s">
        <v>37</v>
      </c>
      <c r="G27" s="6" t="s">
        <v>194</v>
      </c>
      <c r="H27" s="6" t="s">
        <v>62</v>
      </c>
      <c r="I27" s="9">
        <v>70026</v>
      </c>
      <c r="J27" s="6" t="s">
        <v>195</v>
      </c>
      <c r="K27" s="6" t="s">
        <v>255</v>
      </c>
      <c r="L27" s="6" t="s">
        <v>177</v>
      </c>
      <c r="M27" s="10"/>
      <c r="N27">
        <f t="shared" si="0"/>
        <v>4</v>
      </c>
      <c r="O27">
        <f t="shared" si="1"/>
        <v>1</v>
      </c>
      <c r="P27" t="str">
        <f>IF(LEFT(TRIM(G27),1)="(",MID(TRIM(G27),2,FIND(")",TRIM(G27))-2)&amp;"-"&amp;MID(TRIM(G27),FIND("(",TRIM(G27),2)+1,LEN(TRIM(G27))-FIND("(",TRIM(G27),2)-1),"")</f>
        <v/>
      </c>
    </row>
    <row r="28" spans="1:16">
      <c r="A28" s="7" t="s">
        <v>108</v>
      </c>
      <c r="B28" s="6">
        <v>2</v>
      </c>
      <c r="C28" s="6" t="s">
        <v>179</v>
      </c>
      <c r="D28" s="2">
        <v>46191</v>
      </c>
      <c r="E28" s="6" t="s">
        <v>256</v>
      </c>
      <c r="F28" s="5" t="s">
        <v>14</v>
      </c>
      <c r="G28" s="6" t="s">
        <v>257</v>
      </c>
      <c r="H28" s="6" t="s">
        <v>84</v>
      </c>
      <c r="I28" s="9">
        <v>52497</v>
      </c>
      <c r="J28" s="6" t="s">
        <v>205</v>
      </c>
      <c r="K28" s="6" t="s">
        <v>258</v>
      </c>
      <c r="L28" s="6" t="s">
        <v>177</v>
      </c>
      <c r="M28" s="10"/>
      <c r="N28">
        <f t="shared" si="0"/>
        <v>6</v>
      </c>
      <c r="O28">
        <f t="shared" si="1"/>
        <v>0</v>
      </c>
      <c r="P28" t="str">
        <f t="shared" si="2"/>
        <v/>
      </c>
    </row>
    <row r="29" spans="1:16">
      <c r="A29" s="7" t="s">
        <v>108</v>
      </c>
      <c r="B29" s="6">
        <v>2</v>
      </c>
      <c r="C29" s="6" t="s">
        <v>179</v>
      </c>
      <c r="D29" s="2">
        <v>46191</v>
      </c>
      <c r="E29" s="6" t="s">
        <v>259</v>
      </c>
      <c r="F29" s="5" t="s">
        <v>12</v>
      </c>
      <c r="G29" s="6" t="s">
        <v>221</v>
      </c>
      <c r="H29" s="6" t="s">
        <v>85</v>
      </c>
      <c r="I29" s="9">
        <v>45522</v>
      </c>
      <c r="J29" s="6" t="s">
        <v>186</v>
      </c>
      <c r="K29" s="6" t="s">
        <v>260</v>
      </c>
      <c r="L29" s="6" t="s">
        <v>177</v>
      </c>
      <c r="M29" s="10"/>
      <c r="N29">
        <f t="shared" si="0"/>
        <v>1</v>
      </c>
      <c r="O29">
        <f t="shared" si="1"/>
        <v>0</v>
      </c>
      <c r="P29" t="str">
        <f t="shared" si="2"/>
        <v/>
      </c>
    </row>
    <row r="30" spans="1:16">
      <c r="A30" s="7" t="s">
        <v>108</v>
      </c>
      <c r="B30" s="6">
        <v>2</v>
      </c>
      <c r="C30" s="6" t="s">
        <v>188</v>
      </c>
      <c r="D30" s="2">
        <v>46192</v>
      </c>
      <c r="E30" s="6" t="s">
        <v>198</v>
      </c>
      <c r="F30" s="5" t="s">
        <v>15</v>
      </c>
      <c r="G30" s="6" t="s">
        <v>181</v>
      </c>
      <c r="H30" s="6" t="s">
        <v>86</v>
      </c>
      <c r="I30" s="9">
        <v>66925</v>
      </c>
      <c r="J30" s="6" t="s">
        <v>228</v>
      </c>
      <c r="K30" s="6" t="s">
        <v>261</v>
      </c>
      <c r="L30" s="6" t="s">
        <v>177</v>
      </c>
      <c r="M30" s="10"/>
      <c r="N30">
        <f t="shared" si="0"/>
        <v>2</v>
      </c>
      <c r="O30">
        <f t="shared" si="1"/>
        <v>0</v>
      </c>
      <c r="P30" t="str">
        <f t="shared" si="2"/>
        <v/>
      </c>
    </row>
    <row r="31" spans="1:16">
      <c r="A31" s="7" t="s">
        <v>108</v>
      </c>
      <c r="B31" s="6">
        <v>2</v>
      </c>
      <c r="C31" s="6" t="s">
        <v>188</v>
      </c>
      <c r="D31" s="2">
        <v>46192</v>
      </c>
      <c r="E31" s="6" t="s">
        <v>201</v>
      </c>
      <c r="F31" s="6" t="s">
        <v>38</v>
      </c>
      <c r="G31" s="6" t="s">
        <v>208</v>
      </c>
      <c r="H31" s="5" t="s">
        <v>65</v>
      </c>
      <c r="I31" s="9">
        <v>64146</v>
      </c>
      <c r="J31" s="6" t="s">
        <v>209</v>
      </c>
      <c r="K31" s="6" t="s">
        <v>262</v>
      </c>
      <c r="L31" s="6" t="s">
        <v>177</v>
      </c>
      <c r="M31" s="10"/>
      <c r="N31">
        <f t="shared" si="0"/>
        <v>0</v>
      </c>
      <c r="O31">
        <f t="shared" si="1"/>
        <v>1</v>
      </c>
      <c r="P31" t="str">
        <f t="shared" si="2"/>
        <v/>
      </c>
    </row>
    <row r="32" spans="1:16">
      <c r="A32" s="7" t="s">
        <v>108</v>
      </c>
      <c r="B32" s="6">
        <v>2</v>
      </c>
      <c r="C32" s="6" t="s">
        <v>188</v>
      </c>
      <c r="D32" s="2">
        <v>46192</v>
      </c>
      <c r="E32" s="6" t="s">
        <v>263</v>
      </c>
      <c r="F32" s="6" t="s">
        <v>39</v>
      </c>
      <c r="G32" s="6" t="s">
        <v>208</v>
      </c>
      <c r="H32" s="5" t="s">
        <v>63</v>
      </c>
      <c r="I32" s="9">
        <v>68827</v>
      </c>
      <c r="J32" s="6" t="s">
        <v>199</v>
      </c>
      <c r="K32" s="6" t="s">
        <v>264</v>
      </c>
      <c r="L32" s="6" t="s">
        <v>177</v>
      </c>
      <c r="M32" s="10"/>
      <c r="N32">
        <f t="shared" si="0"/>
        <v>0</v>
      </c>
      <c r="O32">
        <f t="shared" si="1"/>
        <v>1</v>
      </c>
      <c r="P32" t="str">
        <f t="shared" si="2"/>
        <v/>
      </c>
    </row>
    <row r="33" spans="1:16">
      <c r="A33" s="7" t="s">
        <v>108</v>
      </c>
      <c r="B33" s="6">
        <v>2</v>
      </c>
      <c r="C33" s="6" t="s">
        <v>188</v>
      </c>
      <c r="D33" s="2">
        <v>46192</v>
      </c>
      <c r="E33" s="6" t="s">
        <v>265</v>
      </c>
      <c r="F33" s="5" t="s">
        <v>17</v>
      </c>
      <c r="G33" s="6" t="s">
        <v>243</v>
      </c>
      <c r="H33" s="6" t="s">
        <v>87</v>
      </c>
      <c r="I33" s="9">
        <v>68324</v>
      </c>
      <c r="J33" s="6" t="s">
        <v>222</v>
      </c>
      <c r="K33" s="6" t="s">
        <v>266</v>
      </c>
      <c r="L33" s="6" t="s">
        <v>177</v>
      </c>
      <c r="M33" s="10"/>
      <c r="N33">
        <f t="shared" si="0"/>
        <v>3</v>
      </c>
      <c r="O33">
        <f t="shared" si="1"/>
        <v>0</v>
      </c>
      <c r="P33" t="str">
        <f t="shared" si="2"/>
        <v/>
      </c>
    </row>
    <row r="34" spans="1:16">
      <c r="A34" s="7" t="s">
        <v>108</v>
      </c>
      <c r="B34" s="6">
        <v>2</v>
      </c>
      <c r="C34" s="6" t="s">
        <v>197</v>
      </c>
      <c r="D34" s="2">
        <v>46193</v>
      </c>
      <c r="E34" s="6" t="s">
        <v>212</v>
      </c>
      <c r="F34" s="5" t="s">
        <v>21</v>
      </c>
      <c r="G34" s="6" t="s">
        <v>224</v>
      </c>
      <c r="H34" s="6" t="s">
        <v>88</v>
      </c>
      <c r="I34" s="9">
        <v>68777</v>
      </c>
      <c r="J34" s="6" t="s">
        <v>214</v>
      </c>
      <c r="K34" s="6" t="s">
        <v>267</v>
      </c>
      <c r="L34" s="6" t="s">
        <v>177</v>
      </c>
      <c r="M34" s="10"/>
      <c r="N34">
        <f t="shared" si="0"/>
        <v>5</v>
      </c>
      <c r="O34">
        <f t="shared" si="1"/>
        <v>1</v>
      </c>
      <c r="P34" t="str">
        <f t="shared" si="2"/>
        <v/>
      </c>
    </row>
    <row r="35" spans="1:16">
      <c r="A35" s="7" t="s">
        <v>108</v>
      </c>
      <c r="B35" s="6">
        <v>2</v>
      </c>
      <c r="C35" s="6" t="s">
        <v>197</v>
      </c>
      <c r="D35" s="2">
        <v>46193</v>
      </c>
      <c r="E35" s="6" t="s">
        <v>268</v>
      </c>
      <c r="F35" s="5" t="s">
        <v>20</v>
      </c>
      <c r="G35" s="6" t="s">
        <v>185</v>
      </c>
      <c r="H35" s="6" t="s">
        <v>89</v>
      </c>
      <c r="I35" s="9">
        <v>43036</v>
      </c>
      <c r="J35" s="6" t="s">
        <v>191</v>
      </c>
      <c r="K35" s="6" t="s">
        <v>269</v>
      </c>
      <c r="L35" s="6" t="s">
        <v>177</v>
      </c>
      <c r="M35" s="10"/>
      <c r="N35">
        <f t="shared" si="0"/>
        <v>2</v>
      </c>
      <c r="O35">
        <f t="shared" si="1"/>
        <v>1</v>
      </c>
      <c r="P35" t="str">
        <f t="shared" si="2"/>
        <v/>
      </c>
    </row>
    <row r="36" spans="1:16">
      <c r="A36" s="7" t="s">
        <v>108</v>
      </c>
      <c r="B36" s="6">
        <v>2</v>
      </c>
      <c r="C36" s="6" t="s">
        <v>197</v>
      </c>
      <c r="D36" s="2">
        <v>46193</v>
      </c>
      <c r="E36" s="6" t="s">
        <v>270</v>
      </c>
      <c r="F36" s="6" t="s">
        <v>40</v>
      </c>
      <c r="G36" s="6" t="s">
        <v>231</v>
      </c>
      <c r="H36" s="6" t="s">
        <v>68</v>
      </c>
      <c r="I36" s="9">
        <v>68598</v>
      </c>
      <c r="J36" s="6" t="s">
        <v>244</v>
      </c>
      <c r="K36" s="6" t="s">
        <v>271</v>
      </c>
      <c r="L36" s="6" t="s">
        <v>177</v>
      </c>
      <c r="M36" s="10"/>
      <c r="N36">
        <f t="shared" si="0"/>
        <v>0</v>
      </c>
      <c r="O36">
        <f t="shared" si="1"/>
        <v>0</v>
      </c>
      <c r="P36" t="str">
        <f t="shared" si="2"/>
        <v/>
      </c>
    </row>
    <row r="37" spans="1:16">
      <c r="A37" s="7" t="s">
        <v>108</v>
      </c>
      <c r="B37" s="6">
        <v>2</v>
      </c>
      <c r="C37" s="6" t="s">
        <v>197</v>
      </c>
      <c r="D37" s="2">
        <v>46193</v>
      </c>
      <c r="E37" s="6" t="s">
        <v>272</v>
      </c>
      <c r="F37" s="6" t="s">
        <v>41</v>
      </c>
      <c r="G37" s="6" t="s">
        <v>273</v>
      </c>
      <c r="H37" s="5" t="s">
        <v>69</v>
      </c>
      <c r="I37" s="9">
        <v>51243</v>
      </c>
      <c r="J37" s="6" t="s">
        <v>225</v>
      </c>
      <c r="K37" s="6" t="s">
        <v>274</v>
      </c>
      <c r="L37" s="6" t="s">
        <v>177</v>
      </c>
      <c r="M37" s="10"/>
      <c r="N37">
        <f t="shared" si="0"/>
        <v>0</v>
      </c>
      <c r="O37">
        <f t="shared" si="1"/>
        <v>4</v>
      </c>
      <c r="P37" t="str">
        <f t="shared" si="2"/>
        <v/>
      </c>
    </row>
    <row r="38" spans="1:16">
      <c r="A38" s="7" t="s">
        <v>108</v>
      </c>
      <c r="B38" s="6">
        <v>2</v>
      </c>
      <c r="C38" s="6" t="s">
        <v>211</v>
      </c>
      <c r="D38" s="2">
        <v>46194</v>
      </c>
      <c r="E38" s="6" t="s">
        <v>230</v>
      </c>
      <c r="F38" s="5" t="s">
        <v>25</v>
      </c>
      <c r="G38" s="6" t="s">
        <v>275</v>
      </c>
      <c r="H38" s="6" t="s">
        <v>90</v>
      </c>
      <c r="I38" s="9">
        <v>68239</v>
      </c>
      <c r="J38" s="6" t="s">
        <v>232</v>
      </c>
      <c r="K38" s="6" t="s">
        <v>276</v>
      </c>
      <c r="L38" s="6" t="s">
        <v>177</v>
      </c>
      <c r="M38" s="10"/>
      <c r="N38">
        <f t="shared" si="0"/>
        <v>4</v>
      </c>
      <c r="O38">
        <f t="shared" si="1"/>
        <v>0</v>
      </c>
      <c r="P38" t="str">
        <f t="shared" si="2"/>
        <v/>
      </c>
    </row>
    <row r="39" spans="1:16">
      <c r="A39" s="7" t="s">
        <v>108</v>
      </c>
      <c r="B39" s="6">
        <v>2</v>
      </c>
      <c r="C39" s="6" t="s">
        <v>211</v>
      </c>
      <c r="D39" s="2">
        <v>46194</v>
      </c>
      <c r="E39" s="6" t="s">
        <v>198</v>
      </c>
      <c r="F39" s="6" t="s">
        <v>24</v>
      </c>
      <c r="G39" s="6" t="s">
        <v>231</v>
      </c>
      <c r="H39" s="6" t="s">
        <v>91</v>
      </c>
      <c r="I39" s="9">
        <v>70317</v>
      </c>
      <c r="J39" s="6" t="s">
        <v>195</v>
      </c>
      <c r="K39" s="6" t="s">
        <v>277</v>
      </c>
      <c r="L39" s="6" t="s">
        <v>177</v>
      </c>
      <c r="M39" s="10"/>
      <c r="N39">
        <f t="shared" si="0"/>
        <v>0</v>
      </c>
      <c r="O39">
        <f t="shared" si="1"/>
        <v>0</v>
      </c>
      <c r="P39" t="str">
        <f t="shared" si="2"/>
        <v/>
      </c>
    </row>
    <row r="40" spans="1:16">
      <c r="A40" s="7" t="s">
        <v>108</v>
      </c>
      <c r="B40" s="6">
        <v>2</v>
      </c>
      <c r="C40" s="6" t="s">
        <v>211</v>
      </c>
      <c r="D40" s="2">
        <v>46194</v>
      </c>
      <c r="E40" s="6" t="s">
        <v>201</v>
      </c>
      <c r="F40" s="6" t="s">
        <v>42</v>
      </c>
      <c r="G40" s="6" t="s">
        <v>217</v>
      </c>
      <c r="H40" s="6" t="s">
        <v>73</v>
      </c>
      <c r="I40" s="9">
        <v>64003</v>
      </c>
      <c r="J40" s="6" t="s">
        <v>234</v>
      </c>
      <c r="K40" s="6" t="s">
        <v>278</v>
      </c>
      <c r="L40" s="6" t="s">
        <v>177</v>
      </c>
      <c r="M40" s="10"/>
      <c r="N40">
        <f t="shared" si="0"/>
        <v>2</v>
      </c>
      <c r="O40">
        <f t="shared" si="1"/>
        <v>2</v>
      </c>
      <c r="P40" t="str">
        <f t="shared" si="2"/>
        <v/>
      </c>
    </row>
    <row r="41" spans="1:16">
      <c r="A41" s="7" t="s">
        <v>108</v>
      </c>
      <c r="B41" s="6">
        <v>2</v>
      </c>
      <c r="C41" s="6" t="s">
        <v>211</v>
      </c>
      <c r="D41" s="2">
        <v>46194</v>
      </c>
      <c r="E41" s="6" t="s">
        <v>193</v>
      </c>
      <c r="F41" s="6" t="s">
        <v>43</v>
      </c>
      <c r="G41" s="6" t="s">
        <v>252</v>
      </c>
      <c r="H41" s="5" t="s">
        <v>72</v>
      </c>
      <c r="I41" s="9">
        <v>52497</v>
      </c>
      <c r="J41" s="6" t="s">
        <v>205</v>
      </c>
      <c r="K41" s="6" t="s">
        <v>279</v>
      </c>
      <c r="L41" s="6" t="s">
        <v>177</v>
      </c>
      <c r="M41" s="10"/>
      <c r="N41">
        <f t="shared" si="0"/>
        <v>1</v>
      </c>
      <c r="O41">
        <f t="shared" si="1"/>
        <v>3</v>
      </c>
      <c r="P41" t="str">
        <f>IF(LEFT(TRIM(G41),1)="(",MID(TRIM(G41),2,FIND(")",TRIM(G41))-2)&amp;"-"&amp;MID(TRIM(G41),FIND("(",TRIM(G41),2)+1,LEN(TRIM(G41))-FIND("(",TRIM(G41),2)-1),"")</f>
        <v/>
      </c>
    </row>
    <row r="42" spans="1:16">
      <c r="A42" s="7" t="s">
        <v>108</v>
      </c>
      <c r="B42" s="6">
        <v>2</v>
      </c>
      <c r="C42" s="6" t="s">
        <v>227</v>
      </c>
      <c r="D42" s="2">
        <v>46195</v>
      </c>
      <c r="E42" s="6" t="s">
        <v>212</v>
      </c>
      <c r="F42" s="5" t="s">
        <v>30</v>
      </c>
      <c r="G42" s="6" t="s">
        <v>181</v>
      </c>
      <c r="H42" s="6" t="s">
        <v>92</v>
      </c>
      <c r="I42" s="9">
        <v>70649</v>
      </c>
      <c r="J42" s="6" t="s">
        <v>218</v>
      </c>
      <c r="K42" s="6" t="s">
        <v>187</v>
      </c>
      <c r="L42" s="6" t="s">
        <v>177</v>
      </c>
      <c r="M42" s="10"/>
      <c r="N42">
        <f t="shared" si="0"/>
        <v>2</v>
      </c>
      <c r="O42">
        <f t="shared" si="1"/>
        <v>0</v>
      </c>
      <c r="P42" t="str">
        <f t="shared" si="2"/>
        <v/>
      </c>
    </row>
    <row r="43" spans="1:16">
      <c r="A43" s="7" t="s">
        <v>108</v>
      </c>
      <c r="B43" s="6">
        <v>2</v>
      </c>
      <c r="C43" s="6" t="s">
        <v>227</v>
      </c>
      <c r="D43" s="2">
        <v>46195</v>
      </c>
      <c r="E43" s="6" t="s">
        <v>280</v>
      </c>
      <c r="F43" s="5" t="s">
        <v>28</v>
      </c>
      <c r="G43" s="6" t="s">
        <v>243</v>
      </c>
      <c r="H43" s="6" t="s">
        <v>93</v>
      </c>
      <c r="I43" s="9">
        <v>68324</v>
      </c>
      <c r="J43" s="6" t="s">
        <v>222</v>
      </c>
      <c r="K43" s="6" t="s">
        <v>281</v>
      </c>
      <c r="L43" s="6" t="s">
        <v>177</v>
      </c>
      <c r="M43" s="10"/>
      <c r="N43">
        <f t="shared" si="0"/>
        <v>3</v>
      </c>
      <c r="O43">
        <f t="shared" si="1"/>
        <v>0</v>
      </c>
      <c r="P43" t="str">
        <f t="shared" si="2"/>
        <v/>
      </c>
    </row>
    <row r="44" spans="1:16">
      <c r="A44" s="7" t="s">
        <v>108</v>
      </c>
      <c r="B44" s="6">
        <v>2</v>
      </c>
      <c r="C44" s="6" t="s">
        <v>227</v>
      </c>
      <c r="D44" s="2">
        <v>46195</v>
      </c>
      <c r="E44" s="6" t="s">
        <v>282</v>
      </c>
      <c r="F44" s="5" t="s">
        <v>44</v>
      </c>
      <c r="G44" s="6" t="s">
        <v>283</v>
      </c>
      <c r="H44" s="6" t="s">
        <v>76</v>
      </c>
      <c r="I44" s="9">
        <v>80663</v>
      </c>
      <c r="J44" s="6" t="s">
        <v>202</v>
      </c>
      <c r="K44" s="6" t="s">
        <v>183</v>
      </c>
      <c r="L44" s="6" t="s">
        <v>177</v>
      </c>
      <c r="M44" s="10"/>
      <c r="N44">
        <f t="shared" si="0"/>
        <v>3</v>
      </c>
      <c r="O44">
        <f t="shared" si="1"/>
        <v>2</v>
      </c>
      <c r="P44" t="str">
        <f t="shared" si="2"/>
        <v/>
      </c>
    </row>
    <row r="45" spans="1:16">
      <c r="A45" s="7" t="s">
        <v>108</v>
      </c>
      <c r="B45" s="6">
        <v>2</v>
      </c>
      <c r="C45" s="6" t="s">
        <v>227</v>
      </c>
      <c r="D45" s="2">
        <v>46195</v>
      </c>
      <c r="E45" s="6" t="s">
        <v>263</v>
      </c>
      <c r="F45" s="6" t="s">
        <v>45</v>
      </c>
      <c r="G45" s="6" t="s">
        <v>284</v>
      </c>
      <c r="H45" s="5" t="s">
        <v>78</v>
      </c>
      <c r="I45" s="9">
        <v>68371</v>
      </c>
      <c r="J45" s="6" t="s">
        <v>199</v>
      </c>
      <c r="K45" s="6" t="s">
        <v>203</v>
      </c>
      <c r="L45" s="6" t="s">
        <v>177</v>
      </c>
      <c r="M45" s="10"/>
      <c r="N45">
        <f t="shared" si="0"/>
        <v>1</v>
      </c>
      <c r="O45">
        <f t="shared" si="1"/>
        <v>2</v>
      </c>
      <c r="P45" t="str">
        <f t="shared" si="2"/>
        <v/>
      </c>
    </row>
    <row r="46" spans="1:16">
      <c r="A46" s="7" t="s">
        <v>108</v>
      </c>
      <c r="B46" s="6">
        <v>2</v>
      </c>
      <c r="C46" s="6" t="s">
        <v>237</v>
      </c>
      <c r="D46" s="2">
        <v>46196</v>
      </c>
      <c r="E46" s="6" t="s">
        <v>212</v>
      </c>
      <c r="F46" s="5" t="s">
        <v>32</v>
      </c>
      <c r="G46" s="6" t="s">
        <v>285</v>
      </c>
      <c r="H46" s="6" t="s">
        <v>94</v>
      </c>
      <c r="I46" s="9">
        <v>68777</v>
      </c>
      <c r="J46" s="6" t="s">
        <v>214</v>
      </c>
      <c r="K46" s="6" t="s">
        <v>286</v>
      </c>
      <c r="L46" s="6" t="s">
        <v>177</v>
      </c>
      <c r="M46" s="10"/>
      <c r="N46">
        <f t="shared" si="0"/>
        <v>5</v>
      </c>
      <c r="O46">
        <f t="shared" si="1"/>
        <v>0</v>
      </c>
      <c r="P46" t="str">
        <f t="shared" si="2"/>
        <v/>
      </c>
    </row>
    <row r="47" spans="1:16">
      <c r="A47" s="7" t="s">
        <v>108</v>
      </c>
      <c r="B47" s="6">
        <v>2</v>
      </c>
      <c r="C47" s="6" t="s">
        <v>237</v>
      </c>
      <c r="D47" s="2">
        <v>46196</v>
      </c>
      <c r="E47" s="6" t="s">
        <v>268</v>
      </c>
      <c r="F47" s="6" t="s">
        <v>33</v>
      </c>
      <c r="G47" s="6" t="s">
        <v>231</v>
      </c>
      <c r="H47" s="6" t="s">
        <v>95</v>
      </c>
      <c r="I47" s="9">
        <v>63983</v>
      </c>
      <c r="J47" s="6" t="s">
        <v>209</v>
      </c>
      <c r="K47" s="6" t="s">
        <v>200</v>
      </c>
      <c r="L47" s="6" t="s">
        <v>177</v>
      </c>
      <c r="M47" s="10"/>
      <c r="N47">
        <f t="shared" si="0"/>
        <v>0</v>
      </c>
      <c r="O47">
        <f t="shared" si="1"/>
        <v>0</v>
      </c>
      <c r="P47" t="str">
        <f t="shared" si="2"/>
        <v/>
      </c>
    </row>
    <row r="48" spans="1:16">
      <c r="A48" s="7" t="s">
        <v>108</v>
      </c>
      <c r="B48" s="6">
        <v>2</v>
      </c>
      <c r="C48" s="6" t="s">
        <v>237</v>
      </c>
      <c r="D48" s="2">
        <v>46196</v>
      </c>
      <c r="E48" s="6" t="s">
        <v>220</v>
      </c>
      <c r="F48" s="6" t="s">
        <v>46</v>
      </c>
      <c r="G48" s="6" t="s">
        <v>208</v>
      </c>
      <c r="H48" s="5" t="s">
        <v>81</v>
      </c>
      <c r="I48" s="9">
        <v>43036</v>
      </c>
      <c r="J48" s="6" t="s">
        <v>191</v>
      </c>
      <c r="K48" s="6" t="s">
        <v>241</v>
      </c>
      <c r="L48" s="6" t="s">
        <v>177</v>
      </c>
      <c r="M48" s="10"/>
      <c r="N48">
        <f t="shared" si="0"/>
        <v>0</v>
      </c>
      <c r="O48">
        <f t="shared" si="1"/>
        <v>1</v>
      </c>
      <c r="P48" t="str">
        <f t="shared" si="2"/>
        <v/>
      </c>
    </row>
    <row r="49" spans="1:16">
      <c r="A49" s="7" t="s">
        <v>108</v>
      </c>
      <c r="B49" s="6">
        <v>2</v>
      </c>
      <c r="C49" s="6" t="s">
        <v>237</v>
      </c>
      <c r="D49" s="2">
        <v>46196</v>
      </c>
      <c r="E49" s="6" t="s">
        <v>184</v>
      </c>
      <c r="F49" s="5" t="s">
        <v>47</v>
      </c>
      <c r="G49" s="6" t="s">
        <v>221</v>
      </c>
      <c r="H49" s="6" t="s">
        <v>80</v>
      </c>
      <c r="I49" s="9">
        <v>45358</v>
      </c>
      <c r="J49" s="6" t="s">
        <v>186</v>
      </c>
      <c r="K49" s="6" t="s">
        <v>235</v>
      </c>
      <c r="L49" s="6" t="s">
        <v>177</v>
      </c>
      <c r="M49" s="10"/>
      <c r="N49">
        <f t="shared" si="0"/>
        <v>1</v>
      </c>
      <c r="O49">
        <f t="shared" si="1"/>
        <v>0</v>
      </c>
      <c r="P49" t="str">
        <f t="shared" si="2"/>
        <v/>
      </c>
    </row>
    <row r="50" spans="1:16">
      <c r="A50" s="7" t="s">
        <v>108</v>
      </c>
      <c r="B50" s="6">
        <v>3</v>
      </c>
      <c r="C50" s="6" t="s">
        <v>247</v>
      </c>
      <c r="D50" s="2">
        <v>46197</v>
      </c>
      <c r="E50" s="6" t="s">
        <v>198</v>
      </c>
      <c r="F50" s="5" t="s">
        <v>37</v>
      </c>
      <c r="G50" s="6" t="s">
        <v>185</v>
      </c>
      <c r="H50" s="6" t="s">
        <v>96</v>
      </c>
      <c r="I50" s="9">
        <v>52497</v>
      </c>
      <c r="J50" s="6" t="s">
        <v>205</v>
      </c>
      <c r="K50" s="6" t="s">
        <v>229</v>
      </c>
      <c r="L50" s="6" t="s">
        <v>177</v>
      </c>
      <c r="M50" s="10"/>
      <c r="N50">
        <f t="shared" si="0"/>
        <v>2</v>
      </c>
      <c r="O50">
        <f t="shared" si="1"/>
        <v>1</v>
      </c>
      <c r="P50" t="str">
        <f t="shared" si="2"/>
        <v/>
      </c>
    </row>
    <row r="51" spans="1:16">
      <c r="A51" s="7" t="s">
        <v>108</v>
      </c>
      <c r="B51" s="6">
        <v>3</v>
      </c>
      <c r="C51" s="6" t="s">
        <v>247</v>
      </c>
      <c r="D51" s="2">
        <v>46197</v>
      </c>
      <c r="E51" s="6" t="s">
        <v>198</v>
      </c>
      <c r="F51" s="5" t="s">
        <v>48</v>
      </c>
      <c r="G51" s="6" t="s">
        <v>238</v>
      </c>
      <c r="H51" s="6" t="s">
        <v>84</v>
      </c>
      <c r="I51" s="9">
        <v>66925</v>
      </c>
      <c r="J51" s="6" t="s">
        <v>228</v>
      </c>
      <c r="K51" s="6" t="s">
        <v>206</v>
      </c>
      <c r="L51" s="6" t="s">
        <v>177</v>
      </c>
      <c r="M51" s="10"/>
      <c r="N51">
        <f t="shared" si="0"/>
        <v>3</v>
      </c>
      <c r="O51">
        <f t="shared" si="1"/>
        <v>1</v>
      </c>
      <c r="P51" t="str">
        <f t="shared" si="2"/>
        <v/>
      </c>
    </row>
    <row r="52" spans="1:16">
      <c r="A52" s="7" t="s">
        <v>108</v>
      </c>
      <c r="B52" s="6">
        <v>3</v>
      </c>
      <c r="C52" s="6" t="s">
        <v>247</v>
      </c>
      <c r="D52" s="2">
        <v>46197</v>
      </c>
      <c r="E52" s="6" t="s">
        <v>201</v>
      </c>
      <c r="F52" s="6" t="s">
        <v>38</v>
      </c>
      <c r="G52" s="6" t="s">
        <v>287</v>
      </c>
      <c r="H52" s="5" t="s">
        <v>97</v>
      </c>
      <c r="I52" s="9">
        <v>64478</v>
      </c>
      <c r="J52" s="6" t="s">
        <v>234</v>
      </c>
      <c r="K52" s="6" t="s">
        <v>236</v>
      </c>
      <c r="L52" s="6" t="s">
        <v>177</v>
      </c>
      <c r="M52" s="10"/>
      <c r="N52">
        <f t="shared" si="0"/>
        <v>0</v>
      </c>
      <c r="O52">
        <f t="shared" si="1"/>
        <v>3</v>
      </c>
      <c r="P52" t="str">
        <f t="shared" si="2"/>
        <v/>
      </c>
    </row>
    <row r="53" spans="1:16">
      <c r="A53" s="7" t="s">
        <v>108</v>
      </c>
      <c r="B53" s="6">
        <v>3</v>
      </c>
      <c r="C53" s="6" t="s">
        <v>247</v>
      </c>
      <c r="D53" s="2">
        <v>46197</v>
      </c>
      <c r="E53" s="6" t="s">
        <v>201</v>
      </c>
      <c r="F53" s="5" t="s">
        <v>49</v>
      </c>
      <c r="G53" s="6" t="s">
        <v>249</v>
      </c>
      <c r="H53" s="6" t="s">
        <v>87</v>
      </c>
      <c r="I53" s="9">
        <v>68239</v>
      </c>
      <c r="J53" s="6" t="s">
        <v>232</v>
      </c>
      <c r="K53" s="6" t="s">
        <v>196</v>
      </c>
      <c r="L53" s="6" t="s">
        <v>177</v>
      </c>
      <c r="M53" s="10"/>
      <c r="N53">
        <f t="shared" si="0"/>
        <v>4</v>
      </c>
      <c r="O53">
        <f t="shared" si="1"/>
        <v>2</v>
      </c>
      <c r="P53" t="str">
        <f t="shared" si="2"/>
        <v/>
      </c>
    </row>
    <row r="54" spans="1:16">
      <c r="A54" s="7" t="s">
        <v>108</v>
      </c>
      <c r="B54" s="6">
        <v>3</v>
      </c>
      <c r="C54" s="6" t="s">
        <v>247</v>
      </c>
      <c r="D54" s="2">
        <v>46197</v>
      </c>
      <c r="E54" s="6" t="s">
        <v>259</v>
      </c>
      <c r="F54" s="5" t="s">
        <v>50</v>
      </c>
      <c r="G54" s="6" t="s">
        <v>221</v>
      </c>
      <c r="H54" s="6" t="s">
        <v>85</v>
      </c>
      <c r="I54" s="9">
        <v>51243</v>
      </c>
      <c r="J54" s="6" t="s">
        <v>225</v>
      </c>
      <c r="K54" s="6" t="s">
        <v>192</v>
      </c>
      <c r="L54" s="6" t="s">
        <v>177</v>
      </c>
      <c r="M54" s="10"/>
      <c r="N54">
        <f t="shared" si="0"/>
        <v>1</v>
      </c>
      <c r="O54">
        <f t="shared" si="1"/>
        <v>0</v>
      </c>
      <c r="P54" t="str">
        <f t="shared" si="2"/>
        <v/>
      </c>
    </row>
    <row r="55" spans="1:16">
      <c r="A55" s="7" t="s">
        <v>108</v>
      </c>
      <c r="B55" s="6">
        <v>3</v>
      </c>
      <c r="C55" s="6" t="s">
        <v>247</v>
      </c>
      <c r="D55" s="2">
        <v>46197</v>
      </c>
      <c r="E55" s="6" t="s">
        <v>259</v>
      </c>
      <c r="F55" s="6" t="s">
        <v>36</v>
      </c>
      <c r="G55" s="6" t="s">
        <v>287</v>
      </c>
      <c r="H55" s="5" t="s">
        <v>98</v>
      </c>
      <c r="I55" s="9">
        <v>80824</v>
      </c>
      <c r="J55" s="6" t="s">
        <v>182</v>
      </c>
      <c r="K55" s="6" t="s">
        <v>226</v>
      </c>
      <c r="L55" s="6" t="s">
        <v>177</v>
      </c>
      <c r="M55" s="10"/>
      <c r="N55">
        <f t="shared" si="0"/>
        <v>0</v>
      </c>
      <c r="O55">
        <f t="shared" si="1"/>
        <v>3</v>
      </c>
      <c r="P55" t="str">
        <f t="shared" si="2"/>
        <v/>
      </c>
    </row>
    <row r="56" spans="1:16">
      <c r="A56" s="7" t="s">
        <v>108</v>
      </c>
      <c r="B56" s="6">
        <v>3</v>
      </c>
      <c r="C56" s="6" t="s">
        <v>179</v>
      </c>
      <c r="D56" s="2">
        <v>46198</v>
      </c>
      <c r="E56" s="6" t="s">
        <v>268</v>
      </c>
      <c r="F56" s="6" t="s">
        <v>51</v>
      </c>
      <c r="G56" s="6" t="s">
        <v>288</v>
      </c>
      <c r="H56" s="5" t="s">
        <v>89</v>
      </c>
      <c r="I56" s="9">
        <v>68324</v>
      </c>
      <c r="J56" s="6" t="s">
        <v>222</v>
      </c>
      <c r="K56" s="6" t="s">
        <v>251</v>
      </c>
      <c r="L56" s="6" t="s">
        <v>177</v>
      </c>
      <c r="M56" s="10"/>
      <c r="N56">
        <f t="shared" si="0"/>
        <v>0</v>
      </c>
      <c r="O56">
        <f t="shared" si="1"/>
        <v>2</v>
      </c>
      <c r="P56" t="str">
        <f t="shared" si="2"/>
        <v/>
      </c>
    </row>
    <row r="57" spans="1:16">
      <c r="A57" s="7" t="s">
        <v>108</v>
      </c>
      <c r="B57" s="6">
        <v>3</v>
      </c>
      <c r="C57" s="6" t="s">
        <v>179</v>
      </c>
      <c r="D57" s="2">
        <v>46198</v>
      </c>
      <c r="E57" s="6" t="s">
        <v>268</v>
      </c>
      <c r="F57" s="5" t="s">
        <v>40</v>
      </c>
      <c r="G57" s="6" t="s">
        <v>185</v>
      </c>
      <c r="H57" s="6" t="s">
        <v>99</v>
      </c>
      <c r="I57" s="9">
        <v>80663</v>
      </c>
      <c r="J57" s="6" t="s">
        <v>202</v>
      </c>
      <c r="K57" s="6" t="s">
        <v>254</v>
      </c>
      <c r="L57" s="6" t="s">
        <v>177</v>
      </c>
      <c r="M57" s="10"/>
      <c r="N57">
        <f t="shared" si="0"/>
        <v>2</v>
      </c>
      <c r="O57">
        <f t="shared" si="1"/>
        <v>1</v>
      </c>
      <c r="P57" t="str">
        <f t="shared" si="2"/>
        <v/>
      </c>
    </row>
    <row r="58" spans="1:16">
      <c r="A58" s="7" t="s">
        <v>108</v>
      </c>
      <c r="B58" s="6">
        <v>3</v>
      </c>
      <c r="C58" s="6" t="s">
        <v>179</v>
      </c>
      <c r="D58" s="2">
        <v>46198</v>
      </c>
      <c r="E58" s="6" t="s">
        <v>289</v>
      </c>
      <c r="F58" s="6" t="s">
        <v>41</v>
      </c>
      <c r="G58" s="6" t="s">
        <v>252</v>
      </c>
      <c r="H58" s="5" t="s">
        <v>100</v>
      </c>
      <c r="I58" s="9">
        <v>68391</v>
      </c>
      <c r="J58" s="6" t="s">
        <v>244</v>
      </c>
      <c r="K58" s="6" t="s">
        <v>290</v>
      </c>
      <c r="L58" s="6" t="s">
        <v>177</v>
      </c>
      <c r="M58" s="10"/>
      <c r="N58">
        <f t="shared" si="0"/>
        <v>1</v>
      </c>
      <c r="O58">
        <f t="shared" si="1"/>
        <v>3</v>
      </c>
      <c r="P58" t="str">
        <f>IF(LEFT(TRIM(G58),1)="(",MID(TRIM(G58),2,FIND(")",TRIM(G58))-2)&amp;"-"&amp;MID(TRIM(G58),FIND("(",TRIM(G58),2)+1,LEN(TRIM(G58))-FIND("(",TRIM(G58),2)-1),"")</f>
        <v/>
      </c>
    </row>
    <row r="59" spans="1:16">
      <c r="A59" s="7" t="s">
        <v>108</v>
      </c>
      <c r="B59" s="6">
        <v>3</v>
      </c>
      <c r="C59" s="6" t="s">
        <v>179</v>
      </c>
      <c r="D59" s="2">
        <v>46198</v>
      </c>
      <c r="E59" s="6" t="s">
        <v>289</v>
      </c>
      <c r="F59" s="6" t="s">
        <v>52</v>
      </c>
      <c r="G59" s="6" t="s">
        <v>190</v>
      </c>
      <c r="H59" s="6" t="s">
        <v>88</v>
      </c>
      <c r="I59" s="9">
        <v>70137</v>
      </c>
      <c r="J59" s="6" t="s">
        <v>218</v>
      </c>
      <c r="K59" s="6" t="s">
        <v>264</v>
      </c>
      <c r="L59" s="6" t="s">
        <v>177</v>
      </c>
      <c r="M59" s="10"/>
      <c r="N59">
        <f t="shared" si="0"/>
        <v>1</v>
      </c>
      <c r="O59">
        <f>VALUE(TRIM(LEFT(MID(SUBSTITUTE(G59,_xlfn.UNICHAR(8211),"-"),FIND("-",SUBSTITUTE(G59,_xlfn.UNICHAR(8211),"-"))+1,100),2)))</f>
        <v>1</v>
      </c>
      <c r="P59" t="str">
        <f t="shared" si="2"/>
        <v/>
      </c>
    </row>
    <row r="60" spans="1:16">
      <c r="A60" s="7" t="s">
        <v>108</v>
      </c>
      <c r="B60" s="6">
        <v>3</v>
      </c>
      <c r="C60" s="6" t="s">
        <v>179</v>
      </c>
      <c r="D60" s="2">
        <v>46198</v>
      </c>
      <c r="E60" s="6" t="s">
        <v>291</v>
      </c>
      <c r="F60" s="5" t="s">
        <v>39</v>
      </c>
      <c r="G60" s="6" t="s">
        <v>283</v>
      </c>
      <c r="H60" s="6" t="s">
        <v>101</v>
      </c>
      <c r="I60" s="9">
        <v>70492</v>
      </c>
      <c r="J60" s="6" t="s">
        <v>195</v>
      </c>
      <c r="K60" s="6" t="s">
        <v>210</v>
      </c>
      <c r="L60" s="6" t="s">
        <v>177</v>
      </c>
      <c r="M60" s="10"/>
      <c r="N60">
        <f t="shared" si="0"/>
        <v>3</v>
      </c>
      <c r="O60">
        <f t="shared" si="1"/>
        <v>2</v>
      </c>
      <c r="P60" t="str">
        <f t="shared" si="2"/>
        <v/>
      </c>
    </row>
    <row r="61" spans="1:16">
      <c r="A61" s="7" t="s">
        <v>108</v>
      </c>
      <c r="B61" s="6">
        <v>3</v>
      </c>
      <c r="C61" s="6" t="s">
        <v>179</v>
      </c>
      <c r="D61" s="2">
        <v>46198</v>
      </c>
      <c r="E61" s="6" t="s">
        <v>291</v>
      </c>
      <c r="F61" s="6" t="s">
        <v>53</v>
      </c>
      <c r="G61" s="6" t="s">
        <v>231</v>
      </c>
      <c r="H61" s="6" t="s">
        <v>86</v>
      </c>
      <c r="I61" s="9">
        <v>68827</v>
      </c>
      <c r="J61" s="6" t="s">
        <v>199</v>
      </c>
      <c r="K61" s="6" t="s">
        <v>250</v>
      </c>
      <c r="L61" s="6" t="s">
        <v>177</v>
      </c>
      <c r="M61" s="10"/>
      <c r="N61">
        <f t="shared" si="0"/>
        <v>0</v>
      </c>
      <c r="O61">
        <f t="shared" si="1"/>
        <v>0</v>
      </c>
      <c r="P61" t="str">
        <f t="shared" si="2"/>
        <v/>
      </c>
    </row>
    <row r="62" spans="1:16">
      <c r="A62" s="7" t="s">
        <v>108</v>
      </c>
      <c r="B62" s="6">
        <v>3</v>
      </c>
      <c r="C62" s="6" t="s">
        <v>188</v>
      </c>
      <c r="D62" s="2">
        <v>46199</v>
      </c>
      <c r="E62" s="6" t="s">
        <v>189</v>
      </c>
      <c r="F62" s="6" t="s">
        <v>44</v>
      </c>
      <c r="G62" s="6" t="s">
        <v>240</v>
      </c>
      <c r="H62" s="5" t="s">
        <v>102</v>
      </c>
      <c r="I62" s="9">
        <v>64146</v>
      </c>
      <c r="J62" s="6" t="s">
        <v>209</v>
      </c>
      <c r="K62" s="6" t="s">
        <v>267</v>
      </c>
      <c r="L62" s="6" t="s">
        <v>177</v>
      </c>
      <c r="M62" s="10"/>
      <c r="N62">
        <f t="shared" si="0"/>
        <v>1</v>
      </c>
      <c r="O62">
        <f t="shared" si="1"/>
        <v>4</v>
      </c>
      <c r="P62" t="str">
        <f t="shared" si="2"/>
        <v/>
      </c>
    </row>
    <row r="63" spans="1:16">
      <c r="A63" s="7" t="s">
        <v>108</v>
      </c>
      <c r="B63" s="6">
        <v>3</v>
      </c>
      <c r="C63" s="6" t="s">
        <v>188</v>
      </c>
      <c r="D63" s="2">
        <v>46199</v>
      </c>
      <c r="E63" s="6" t="s">
        <v>189</v>
      </c>
      <c r="F63" s="5" t="s">
        <v>54</v>
      </c>
      <c r="G63" s="6" t="s">
        <v>285</v>
      </c>
      <c r="H63" s="6" t="s">
        <v>93</v>
      </c>
      <c r="I63" s="9">
        <v>43036</v>
      </c>
      <c r="J63" s="6" t="s">
        <v>191</v>
      </c>
      <c r="K63" s="6" t="s">
        <v>253</v>
      </c>
      <c r="L63" s="6" t="s">
        <v>177</v>
      </c>
      <c r="M63" s="10"/>
      <c r="N63">
        <f t="shared" si="0"/>
        <v>5</v>
      </c>
      <c r="O63">
        <f t="shared" si="1"/>
        <v>0</v>
      </c>
      <c r="P63" t="str">
        <f t="shared" si="2"/>
        <v/>
      </c>
    </row>
    <row r="64" spans="1:16">
      <c r="A64" s="7" t="s">
        <v>108</v>
      </c>
      <c r="B64" s="6">
        <v>3</v>
      </c>
      <c r="C64" s="6" t="s">
        <v>188</v>
      </c>
      <c r="D64" s="2">
        <v>46199</v>
      </c>
      <c r="E64" s="6" t="s">
        <v>292</v>
      </c>
      <c r="F64" s="6" t="s">
        <v>42</v>
      </c>
      <c r="G64" s="6" t="s">
        <v>208</v>
      </c>
      <c r="H64" s="5" t="s">
        <v>103</v>
      </c>
      <c r="I64" s="9">
        <v>45065</v>
      </c>
      <c r="J64" s="6" t="s">
        <v>186</v>
      </c>
      <c r="K64" s="6" t="s">
        <v>219</v>
      </c>
      <c r="L64" s="6" t="s">
        <v>177</v>
      </c>
      <c r="M64" s="10"/>
      <c r="N64">
        <f t="shared" si="0"/>
        <v>0</v>
      </c>
      <c r="O64">
        <f t="shared" si="1"/>
        <v>1</v>
      </c>
      <c r="P64" t="str">
        <f t="shared" si="2"/>
        <v/>
      </c>
    </row>
    <row r="65" spans="1:16">
      <c r="A65" s="7" t="s">
        <v>108</v>
      </c>
      <c r="B65" s="6">
        <v>3</v>
      </c>
      <c r="C65" s="6" t="s">
        <v>188</v>
      </c>
      <c r="D65" s="2">
        <v>46199</v>
      </c>
      <c r="E65" s="6" t="s">
        <v>270</v>
      </c>
      <c r="F65" s="6" t="s">
        <v>55</v>
      </c>
      <c r="G65" s="6" t="s">
        <v>231</v>
      </c>
      <c r="H65" s="6" t="s">
        <v>90</v>
      </c>
      <c r="I65" s="9">
        <v>68278</v>
      </c>
      <c r="J65" s="6" t="s">
        <v>214</v>
      </c>
      <c r="K65" s="6" t="s">
        <v>223</v>
      </c>
      <c r="L65" s="6" t="s">
        <v>177</v>
      </c>
      <c r="M65" s="10"/>
      <c r="N65">
        <f t="shared" si="0"/>
        <v>0</v>
      </c>
      <c r="O65">
        <f t="shared" si="1"/>
        <v>0</v>
      </c>
      <c r="P65" t="str">
        <f t="shared" si="2"/>
        <v/>
      </c>
    </row>
    <row r="66" spans="1:16">
      <c r="A66" s="7" t="s">
        <v>108</v>
      </c>
      <c r="B66" s="6">
        <v>3</v>
      </c>
      <c r="C66" s="6" t="s">
        <v>188</v>
      </c>
      <c r="D66" s="2">
        <v>46199</v>
      </c>
      <c r="E66" s="6" t="s">
        <v>263</v>
      </c>
      <c r="F66" s="6" t="s">
        <v>56</v>
      </c>
      <c r="G66" s="6" t="s">
        <v>190</v>
      </c>
      <c r="H66" s="6" t="s">
        <v>91</v>
      </c>
      <c r="I66" s="9">
        <v>66925</v>
      </c>
      <c r="J66" s="6" t="s">
        <v>228</v>
      </c>
      <c r="K66" s="6" t="s">
        <v>245</v>
      </c>
      <c r="L66" s="6" t="s">
        <v>177</v>
      </c>
      <c r="M66" s="10"/>
      <c r="N66">
        <f t="shared" si="0"/>
        <v>1</v>
      </c>
      <c r="O66">
        <f t="shared" si="1"/>
        <v>1</v>
      </c>
      <c r="P66" t="str">
        <f t="shared" si="2"/>
        <v/>
      </c>
    </row>
    <row r="67" spans="1:16">
      <c r="A67" s="7" t="s">
        <v>108</v>
      </c>
      <c r="B67" s="6">
        <v>3</v>
      </c>
      <c r="C67" s="6" t="s">
        <v>188</v>
      </c>
      <c r="D67" s="2">
        <v>46199</v>
      </c>
      <c r="E67" s="6" t="s">
        <v>263</v>
      </c>
      <c r="F67" s="6" t="s">
        <v>43</v>
      </c>
      <c r="G67" s="6" t="s">
        <v>293</v>
      </c>
      <c r="H67" s="5" t="s">
        <v>104</v>
      </c>
      <c r="I67" s="9">
        <v>52497</v>
      </c>
      <c r="J67" s="6" t="s">
        <v>205</v>
      </c>
      <c r="K67" s="6" t="s">
        <v>233</v>
      </c>
      <c r="L67" s="6" t="s">
        <v>177</v>
      </c>
      <c r="M67" s="10"/>
      <c r="N67">
        <f t="shared" ref="N67:N105" si="3">VALUE(TRIM(RIGHT(LEFT(SUBSTITUTE(G67,_xlfn.UNICHAR(8211),"-"),FIND("-",SUBSTITUTE(G67,_xlfn.UNICHAR(8211),"-"))-1),2)))</f>
        <v>1</v>
      </c>
      <c r="O67">
        <f t="shared" ref="O67:O76" si="4">VALUE(TRIM(LEFT(MID(SUBSTITUTE(G67,_xlfn.UNICHAR(8211),"-"),FIND("-",SUBSTITUTE(G67,_xlfn.UNICHAR(8211),"-"))+1,100),2)))</f>
        <v>5</v>
      </c>
      <c r="P67" t="str">
        <f t="shared" ref="P67:P101" si="5">IF(LEFT(TRIM(G67),1)="(",MID(TRIM(G67),2,FIND(")",TRIM(G67))-2)&amp;"-"&amp;MID(TRIM(G67),FIND("(",TRIM(G67),2)+1,LEN(TRIM(G67))-FIND("(",TRIM(G67),2)-1),"")</f>
        <v/>
      </c>
    </row>
    <row r="68" spans="1:16">
      <c r="A68" s="7" t="s">
        <v>108</v>
      </c>
      <c r="B68" s="6">
        <v>3</v>
      </c>
      <c r="C68" s="6" t="s">
        <v>197</v>
      </c>
      <c r="D68" s="2">
        <v>46200</v>
      </c>
      <c r="E68" s="6" t="s">
        <v>280</v>
      </c>
      <c r="F68" s="5" t="s">
        <v>57</v>
      </c>
      <c r="G68" s="6" t="s">
        <v>185</v>
      </c>
      <c r="H68" s="6" t="s">
        <v>95</v>
      </c>
      <c r="I68" s="9">
        <v>68324</v>
      </c>
      <c r="J68" s="6" t="s">
        <v>222</v>
      </c>
      <c r="K68" s="6" t="s">
        <v>281</v>
      </c>
      <c r="L68" s="6" t="s">
        <v>177</v>
      </c>
      <c r="M68" s="10"/>
      <c r="N68">
        <f t="shared" si="3"/>
        <v>2</v>
      </c>
      <c r="O68">
        <f t="shared" si="4"/>
        <v>1</v>
      </c>
      <c r="P68" t="str">
        <f t="shared" si="5"/>
        <v/>
      </c>
    </row>
    <row r="69" spans="1:16">
      <c r="A69" s="7" t="s">
        <v>108</v>
      </c>
      <c r="B69" s="6">
        <v>3</v>
      </c>
      <c r="C69" s="6" t="s">
        <v>197</v>
      </c>
      <c r="D69" s="2">
        <v>46200</v>
      </c>
      <c r="E69" s="6" t="s">
        <v>280</v>
      </c>
      <c r="F69" s="6" t="s">
        <v>46</v>
      </c>
      <c r="G69" s="6" t="s">
        <v>288</v>
      </c>
      <c r="H69" s="5" t="s">
        <v>105</v>
      </c>
      <c r="I69" s="9">
        <v>80663</v>
      </c>
      <c r="J69" s="6" t="s">
        <v>202</v>
      </c>
      <c r="K69" s="6" t="s">
        <v>248</v>
      </c>
      <c r="L69" s="6" t="s">
        <v>177</v>
      </c>
      <c r="M69" s="10"/>
      <c r="N69">
        <f t="shared" si="3"/>
        <v>0</v>
      </c>
      <c r="O69">
        <f t="shared" si="4"/>
        <v>2</v>
      </c>
      <c r="P69" t="str">
        <f t="shared" si="5"/>
        <v/>
      </c>
    </row>
    <row r="70" spans="1:16">
      <c r="A70" s="7" t="s">
        <v>108</v>
      </c>
      <c r="B70" s="6">
        <v>3</v>
      </c>
      <c r="C70" s="6" t="s">
        <v>197</v>
      </c>
      <c r="D70" s="2">
        <v>46200</v>
      </c>
      <c r="E70" s="6" t="s">
        <v>294</v>
      </c>
      <c r="F70" s="5" t="s">
        <v>58</v>
      </c>
      <c r="G70" s="6" t="s">
        <v>238</v>
      </c>
      <c r="H70" s="6" t="s">
        <v>94</v>
      </c>
      <c r="I70" s="9">
        <v>68239</v>
      </c>
      <c r="J70" s="6" t="s">
        <v>232</v>
      </c>
      <c r="K70" s="6" t="s">
        <v>261</v>
      </c>
      <c r="L70" s="6" t="s">
        <v>177</v>
      </c>
      <c r="M70" s="10"/>
      <c r="N70">
        <f t="shared" si="3"/>
        <v>3</v>
      </c>
      <c r="O70">
        <f t="shared" si="4"/>
        <v>1</v>
      </c>
      <c r="P70" t="str">
        <f t="shared" si="5"/>
        <v/>
      </c>
    </row>
    <row r="71" spans="1:16">
      <c r="A71" s="7" t="s">
        <v>108</v>
      </c>
      <c r="B71" s="6">
        <v>3</v>
      </c>
      <c r="C71" s="6" t="s">
        <v>197</v>
      </c>
      <c r="D71" s="2">
        <v>46200</v>
      </c>
      <c r="E71" s="6" t="s">
        <v>294</v>
      </c>
      <c r="F71" s="6" t="s">
        <v>47</v>
      </c>
      <c r="G71" s="6" t="s">
        <v>231</v>
      </c>
      <c r="H71" s="6" t="s">
        <v>106</v>
      </c>
      <c r="I71" s="9">
        <v>64478</v>
      </c>
      <c r="J71" s="6" t="s">
        <v>234</v>
      </c>
      <c r="K71" s="6" t="s">
        <v>239</v>
      </c>
      <c r="L71" s="6" t="s">
        <v>177</v>
      </c>
      <c r="M71" s="10"/>
      <c r="N71">
        <f t="shared" si="3"/>
        <v>0</v>
      </c>
      <c r="O71">
        <f t="shared" si="4"/>
        <v>0</v>
      </c>
      <c r="P71" t="str">
        <f t="shared" si="5"/>
        <v/>
      </c>
    </row>
    <row r="72" spans="1:16">
      <c r="A72" s="7" t="s">
        <v>108</v>
      </c>
      <c r="B72" s="6">
        <v>3</v>
      </c>
      <c r="C72" s="6" t="s">
        <v>197</v>
      </c>
      <c r="D72" s="2">
        <v>46200</v>
      </c>
      <c r="E72" s="6" t="s">
        <v>295</v>
      </c>
      <c r="F72" s="6" t="s">
        <v>45</v>
      </c>
      <c r="G72" s="6" t="s">
        <v>252</v>
      </c>
      <c r="H72" s="5" t="s">
        <v>107</v>
      </c>
      <c r="I72" s="9">
        <v>70649</v>
      </c>
      <c r="J72" s="6" t="s">
        <v>218</v>
      </c>
      <c r="K72" s="6" t="s">
        <v>274</v>
      </c>
      <c r="L72" s="6" t="s">
        <v>177</v>
      </c>
      <c r="M72" s="10"/>
      <c r="N72">
        <f t="shared" si="3"/>
        <v>1</v>
      </c>
      <c r="O72">
        <f t="shared" si="4"/>
        <v>3</v>
      </c>
      <c r="P72" t="str">
        <f t="shared" si="5"/>
        <v/>
      </c>
    </row>
    <row r="73" spans="1:16">
      <c r="A73" s="7" t="s">
        <v>108</v>
      </c>
      <c r="B73" s="6">
        <v>3</v>
      </c>
      <c r="C73" s="6" t="s">
        <v>197</v>
      </c>
      <c r="D73" s="2">
        <v>46200</v>
      </c>
      <c r="E73" s="6" t="s">
        <v>295</v>
      </c>
      <c r="F73" s="6" t="s">
        <v>59</v>
      </c>
      <c r="G73" s="6" t="s">
        <v>296</v>
      </c>
      <c r="H73" s="6" t="s">
        <v>92</v>
      </c>
      <c r="I73" s="9">
        <v>69045</v>
      </c>
      <c r="J73" s="6" t="s">
        <v>244</v>
      </c>
      <c r="K73" s="6" t="s">
        <v>262</v>
      </c>
      <c r="L73" s="6" t="s">
        <v>177</v>
      </c>
      <c r="M73" s="10"/>
      <c r="N73">
        <f t="shared" si="3"/>
        <v>3</v>
      </c>
      <c r="O73">
        <f t="shared" si="4"/>
        <v>3</v>
      </c>
      <c r="P73" t="str">
        <f t="shared" si="5"/>
        <v/>
      </c>
    </row>
    <row r="74" spans="1:16">
      <c r="A74" s="7" t="s">
        <v>109</v>
      </c>
      <c r="B74" s="10"/>
      <c r="C74" s="6" t="s">
        <v>211</v>
      </c>
      <c r="D74" s="2">
        <v>46201</v>
      </c>
      <c r="E74" s="6" t="s">
        <v>198</v>
      </c>
      <c r="F74" s="6" t="s">
        <v>50</v>
      </c>
      <c r="G74" s="6" t="s">
        <v>208</v>
      </c>
      <c r="H74" s="5" t="s">
        <v>96</v>
      </c>
      <c r="I74" s="9">
        <v>69237</v>
      </c>
      <c r="J74" s="6" t="s">
        <v>195</v>
      </c>
      <c r="K74" s="6" t="s">
        <v>255</v>
      </c>
      <c r="L74" s="6" t="s">
        <v>177</v>
      </c>
      <c r="M74" s="10"/>
      <c r="N74">
        <f t="shared" si="3"/>
        <v>0</v>
      </c>
      <c r="O74">
        <f t="shared" si="4"/>
        <v>1</v>
      </c>
      <c r="P74" t="str">
        <f t="shared" si="5"/>
        <v/>
      </c>
    </row>
    <row r="75" spans="1:16">
      <c r="A75" s="7" t="s">
        <v>109</v>
      </c>
      <c r="B75" s="10"/>
      <c r="C75" s="6" t="s">
        <v>227</v>
      </c>
      <c r="D75" s="2">
        <v>46202</v>
      </c>
      <c r="E75" s="6" t="s">
        <v>212</v>
      </c>
      <c r="F75" s="5" t="s">
        <v>17</v>
      </c>
      <c r="G75" s="6" t="s">
        <v>185</v>
      </c>
      <c r="H75" s="6" t="s">
        <v>69</v>
      </c>
      <c r="I75" s="9">
        <v>68777</v>
      </c>
      <c r="J75" s="6" t="s">
        <v>214</v>
      </c>
      <c r="K75" s="6" t="s">
        <v>235</v>
      </c>
      <c r="L75" s="6" t="s">
        <v>177</v>
      </c>
      <c r="M75" s="10"/>
      <c r="N75">
        <f t="shared" si="3"/>
        <v>2</v>
      </c>
      <c r="O75">
        <f t="shared" si="4"/>
        <v>1</v>
      </c>
      <c r="P75" t="str">
        <f t="shared" si="5"/>
        <v/>
      </c>
    </row>
    <row r="76" spans="1:16" ht="30">
      <c r="A76" s="7" t="s">
        <v>109</v>
      </c>
      <c r="B76" s="10"/>
      <c r="C76" s="6" t="s">
        <v>227</v>
      </c>
      <c r="D76" s="2">
        <v>46202</v>
      </c>
      <c r="E76" s="6" t="s">
        <v>297</v>
      </c>
      <c r="F76" s="6" t="s">
        <v>20</v>
      </c>
      <c r="G76" s="6" t="s">
        <v>298</v>
      </c>
      <c r="H76" s="6" t="s">
        <v>63</v>
      </c>
      <c r="I76" s="9">
        <v>63945</v>
      </c>
      <c r="J76" s="6" t="s">
        <v>209</v>
      </c>
      <c r="K76" s="6" t="s">
        <v>286</v>
      </c>
      <c r="L76" s="6" t="s">
        <v>177</v>
      </c>
      <c r="M76" s="6" t="s">
        <v>299</v>
      </c>
      <c r="N76">
        <f t="shared" si="3"/>
        <v>1</v>
      </c>
      <c r="O76">
        <f t="shared" si="4"/>
        <v>1</v>
      </c>
      <c r="P76" t="str">
        <f t="shared" si="5"/>
        <v>3-4</v>
      </c>
    </row>
    <row r="77" spans="1:16" ht="30">
      <c r="A77" s="7" t="s">
        <v>109</v>
      </c>
      <c r="B77" s="10"/>
      <c r="C77" s="6" t="s">
        <v>227</v>
      </c>
      <c r="D77" s="2">
        <v>46202</v>
      </c>
      <c r="E77" s="6" t="s">
        <v>259</v>
      </c>
      <c r="F77" s="6" t="s">
        <v>21</v>
      </c>
      <c r="G77" s="6" t="s">
        <v>300</v>
      </c>
      <c r="H77" s="6" t="s">
        <v>65</v>
      </c>
      <c r="I77" s="9">
        <v>51243</v>
      </c>
      <c r="J77" s="6" t="s">
        <v>225</v>
      </c>
      <c r="K77" s="6" t="s">
        <v>183</v>
      </c>
      <c r="L77" s="6" t="s">
        <v>177</v>
      </c>
      <c r="M77" s="6" t="s">
        <v>301</v>
      </c>
      <c r="N77">
        <f t="shared" si="3"/>
        <v>1</v>
      </c>
      <c r="O77">
        <f>VALUE(TRIM(LEFT(MID(SUBSTITUTE(G77,_xlfn.UNICHAR(8211),"-"),FIND("-",SUBSTITUTE(G77,_xlfn.UNICHAR(8211),"-"))+1,100),2)))</f>
        <v>1</v>
      </c>
      <c r="P77" t="str">
        <f t="shared" si="5"/>
        <v>2-3</v>
      </c>
    </row>
    <row r="78" spans="1:16">
      <c r="A78" s="7" t="s">
        <v>109</v>
      </c>
      <c r="B78" s="10"/>
      <c r="C78" s="6" t="s">
        <v>237</v>
      </c>
      <c r="D78" s="2">
        <v>46203</v>
      </c>
      <c r="E78" s="6" t="s">
        <v>212</v>
      </c>
      <c r="F78" s="6" t="s">
        <v>22</v>
      </c>
      <c r="G78" s="6" t="s">
        <v>284</v>
      </c>
      <c r="H78" s="5" t="s">
        <v>77</v>
      </c>
      <c r="I78" s="9">
        <v>69665</v>
      </c>
      <c r="J78" s="6" t="s">
        <v>218</v>
      </c>
      <c r="K78" s="6" t="s">
        <v>206</v>
      </c>
      <c r="L78" s="6" t="s">
        <v>177</v>
      </c>
      <c r="M78" s="10"/>
      <c r="N78">
        <f t="shared" si="3"/>
        <v>1</v>
      </c>
      <c r="O78">
        <f t="shared" ref="O78:O105" si="6">VALUE(TRIM(LEFT(MID(SUBSTITUTE(G78,_xlfn.UNICHAR(8211),"-"),FIND("-",SUBSTITUTE(G78,_xlfn.UNICHAR(8211),"-"))+1,100),2)))</f>
        <v>2</v>
      </c>
      <c r="P78" t="str">
        <f t="shared" si="5"/>
        <v/>
      </c>
    </row>
    <row r="79" spans="1:16">
      <c r="A79" s="7" t="s">
        <v>109</v>
      </c>
      <c r="B79" s="10"/>
      <c r="C79" s="6" t="s">
        <v>237</v>
      </c>
      <c r="D79" s="2">
        <v>46203</v>
      </c>
      <c r="E79" s="6" t="s">
        <v>280</v>
      </c>
      <c r="F79" s="5" t="s">
        <v>28</v>
      </c>
      <c r="G79" s="6" t="s">
        <v>243</v>
      </c>
      <c r="H79" s="6" t="s">
        <v>88</v>
      </c>
      <c r="I79" s="9">
        <v>80663</v>
      </c>
      <c r="J79" s="6" t="s">
        <v>202</v>
      </c>
      <c r="K79" s="6" t="s">
        <v>196</v>
      </c>
      <c r="L79" s="6" t="s">
        <v>177</v>
      </c>
      <c r="M79" s="10"/>
      <c r="N79">
        <f t="shared" si="3"/>
        <v>3</v>
      </c>
      <c r="O79">
        <f t="shared" si="6"/>
        <v>0</v>
      </c>
      <c r="P79" t="str">
        <f t="shared" si="5"/>
        <v/>
      </c>
    </row>
    <row r="80" spans="1:16">
      <c r="A80" s="7" t="s">
        <v>109</v>
      </c>
      <c r="B80" s="10"/>
      <c r="C80" s="6" t="s">
        <v>237</v>
      </c>
      <c r="D80" s="2">
        <v>46203</v>
      </c>
      <c r="E80" s="6" t="s">
        <v>184</v>
      </c>
      <c r="F80" s="5" t="s">
        <v>12</v>
      </c>
      <c r="G80" s="6" t="s">
        <v>181</v>
      </c>
      <c r="H80" s="6" t="s">
        <v>70</v>
      </c>
      <c r="I80" s="9">
        <v>80824</v>
      </c>
      <c r="J80" s="6" t="s">
        <v>182</v>
      </c>
      <c r="K80" s="6" t="s">
        <v>203</v>
      </c>
      <c r="L80" s="6" t="s">
        <v>177</v>
      </c>
      <c r="M80" s="10"/>
      <c r="N80">
        <f t="shared" si="3"/>
        <v>2</v>
      </c>
      <c r="O80">
        <f t="shared" si="6"/>
        <v>0</v>
      </c>
      <c r="P80" t="str">
        <f t="shared" si="5"/>
        <v/>
      </c>
    </row>
    <row r="81" spans="1:16">
      <c r="A81" s="7" t="s">
        <v>109</v>
      </c>
      <c r="B81" s="10"/>
      <c r="C81" s="6" t="s">
        <v>247</v>
      </c>
      <c r="D81" s="2">
        <v>46204</v>
      </c>
      <c r="E81" s="6" t="s">
        <v>230</v>
      </c>
      <c r="F81" s="5" t="s">
        <v>33</v>
      </c>
      <c r="G81" s="6" t="s">
        <v>185</v>
      </c>
      <c r="H81" s="6" t="s">
        <v>80</v>
      </c>
      <c r="I81" s="9">
        <v>68239</v>
      </c>
      <c r="J81" s="6" t="s">
        <v>232</v>
      </c>
      <c r="K81" s="6" t="s">
        <v>233</v>
      </c>
      <c r="L81" s="6" t="s">
        <v>177</v>
      </c>
      <c r="M81" s="10"/>
      <c r="N81">
        <f t="shared" si="3"/>
        <v>2</v>
      </c>
      <c r="O81">
        <f t="shared" si="6"/>
        <v>1</v>
      </c>
      <c r="P81" t="str">
        <f t="shared" si="5"/>
        <v/>
      </c>
    </row>
    <row r="82" spans="1:16">
      <c r="A82" s="7" t="s">
        <v>109</v>
      </c>
      <c r="B82" s="10"/>
      <c r="C82" s="6" t="s">
        <v>247</v>
      </c>
      <c r="D82" s="2">
        <v>46204</v>
      </c>
      <c r="E82" s="6" t="s">
        <v>302</v>
      </c>
      <c r="F82" s="5" t="s">
        <v>24</v>
      </c>
      <c r="G82" s="6" t="s">
        <v>283</v>
      </c>
      <c r="H82" s="6" t="s">
        <v>76</v>
      </c>
      <c r="I82" s="9">
        <v>66925</v>
      </c>
      <c r="J82" s="6" t="s">
        <v>228</v>
      </c>
      <c r="K82" s="6" t="s">
        <v>200</v>
      </c>
      <c r="L82" s="6" t="s">
        <v>177</v>
      </c>
      <c r="M82" s="6" t="s">
        <v>303</v>
      </c>
      <c r="N82">
        <f t="shared" si="3"/>
        <v>3</v>
      </c>
      <c r="O82">
        <f t="shared" si="6"/>
        <v>2</v>
      </c>
      <c r="P82" t="str">
        <f t="shared" si="5"/>
        <v/>
      </c>
    </row>
    <row r="83" spans="1:16">
      <c r="A83" s="7" t="s">
        <v>109</v>
      </c>
      <c r="B83" s="10"/>
      <c r="C83" s="6" t="s">
        <v>247</v>
      </c>
      <c r="D83" s="2">
        <v>46204</v>
      </c>
      <c r="E83" s="6" t="s">
        <v>304</v>
      </c>
      <c r="F83" s="5" t="s">
        <v>15</v>
      </c>
      <c r="G83" s="6" t="s">
        <v>181</v>
      </c>
      <c r="H83" s="6" t="s">
        <v>62</v>
      </c>
      <c r="I83" s="9">
        <v>68827</v>
      </c>
      <c r="J83" s="6" t="s">
        <v>199</v>
      </c>
      <c r="K83" s="6" t="s">
        <v>276</v>
      </c>
      <c r="L83" s="6" t="s">
        <v>177</v>
      </c>
      <c r="M83" s="10"/>
      <c r="N83">
        <f t="shared" si="3"/>
        <v>2</v>
      </c>
      <c r="O83">
        <f t="shared" si="6"/>
        <v>0</v>
      </c>
      <c r="P83" t="str">
        <f>IF(LEFT(TRIM(G83),1)="(",MID(TRIM(G83),2,FIND(")",TRIM(G83))-2)&amp;"-"&amp;MID(TRIM(G83),FIND("(",TRIM(G83),2)+1,LEN(TRIM(G83))-FIND("(",TRIM(G83),2)-1),"")</f>
        <v/>
      </c>
    </row>
    <row r="84" spans="1:16">
      <c r="A84" s="7" t="s">
        <v>109</v>
      </c>
      <c r="B84" s="10"/>
      <c r="C84" s="6" t="s">
        <v>179</v>
      </c>
      <c r="D84" s="2">
        <v>46205</v>
      </c>
      <c r="E84" s="6" t="s">
        <v>198</v>
      </c>
      <c r="F84" s="5" t="s">
        <v>25</v>
      </c>
      <c r="G84" s="6" t="s">
        <v>243</v>
      </c>
      <c r="H84" s="6" t="s">
        <v>92</v>
      </c>
      <c r="I84" s="9">
        <v>70492</v>
      </c>
      <c r="J84" s="6" t="s">
        <v>195</v>
      </c>
      <c r="K84" s="6" t="s">
        <v>251</v>
      </c>
      <c r="L84" s="6" t="s">
        <v>177</v>
      </c>
      <c r="M84" s="10"/>
      <c r="N84">
        <f t="shared" si="3"/>
        <v>3</v>
      </c>
      <c r="O84">
        <f t="shared" si="6"/>
        <v>0</v>
      </c>
      <c r="P84" t="str">
        <f t="shared" si="5"/>
        <v/>
      </c>
    </row>
    <row r="85" spans="1:16">
      <c r="A85" s="7" t="s">
        <v>109</v>
      </c>
      <c r="B85" s="10"/>
      <c r="C85" s="6" t="s">
        <v>179</v>
      </c>
      <c r="D85" s="2">
        <v>46205</v>
      </c>
      <c r="E85" s="6" t="s">
        <v>220</v>
      </c>
      <c r="F85" s="5" t="s">
        <v>32</v>
      </c>
      <c r="G85" s="6" t="s">
        <v>185</v>
      </c>
      <c r="H85" s="6" t="s">
        <v>81</v>
      </c>
      <c r="I85" s="9">
        <v>43036</v>
      </c>
      <c r="J85" s="6" t="s">
        <v>191</v>
      </c>
      <c r="K85" s="6" t="s">
        <v>278</v>
      </c>
      <c r="L85" s="6" t="s">
        <v>177</v>
      </c>
      <c r="M85" s="10"/>
      <c r="N85">
        <f t="shared" si="3"/>
        <v>2</v>
      </c>
      <c r="O85">
        <f t="shared" si="6"/>
        <v>1</v>
      </c>
      <c r="P85" t="str">
        <f t="shared" si="5"/>
        <v/>
      </c>
    </row>
    <row r="86" spans="1:16">
      <c r="A86" s="7" t="s">
        <v>109</v>
      </c>
      <c r="B86" s="10"/>
      <c r="C86" s="6" t="s">
        <v>179</v>
      </c>
      <c r="D86" s="2">
        <v>46205</v>
      </c>
      <c r="E86" s="6" t="s">
        <v>263</v>
      </c>
      <c r="F86" s="5" t="s">
        <v>37</v>
      </c>
      <c r="G86" s="6" t="s">
        <v>181</v>
      </c>
      <c r="H86" s="6" t="s">
        <v>78</v>
      </c>
      <c r="I86" s="9">
        <v>52497</v>
      </c>
      <c r="J86" s="6" t="s">
        <v>205</v>
      </c>
      <c r="K86" s="6" t="s">
        <v>226</v>
      </c>
      <c r="L86" s="6" t="s">
        <v>177</v>
      </c>
      <c r="M86" s="10"/>
      <c r="N86">
        <f t="shared" si="3"/>
        <v>2</v>
      </c>
      <c r="O86">
        <f t="shared" si="6"/>
        <v>0</v>
      </c>
      <c r="P86" t="str">
        <f t="shared" si="5"/>
        <v/>
      </c>
    </row>
    <row r="87" spans="1:16">
      <c r="A87" s="7" t="s">
        <v>109</v>
      </c>
      <c r="B87" s="10"/>
      <c r="C87" s="6" t="s">
        <v>188</v>
      </c>
      <c r="D87" s="2">
        <v>46206</v>
      </c>
      <c r="E87" s="6" t="s">
        <v>305</v>
      </c>
      <c r="F87" s="6" t="s">
        <v>18</v>
      </c>
      <c r="G87" s="6" t="s">
        <v>306</v>
      </c>
      <c r="H87" s="6" t="s">
        <v>72</v>
      </c>
      <c r="I87" s="9">
        <v>70244</v>
      </c>
      <c r="J87" s="6" t="s">
        <v>218</v>
      </c>
      <c r="K87" s="6" t="s">
        <v>260</v>
      </c>
      <c r="L87" s="6" t="s">
        <v>177</v>
      </c>
      <c r="M87" s="6" t="s">
        <v>307</v>
      </c>
      <c r="N87">
        <f t="shared" si="3"/>
        <v>1</v>
      </c>
      <c r="O87">
        <f t="shared" si="6"/>
        <v>1</v>
      </c>
      <c r="P87" t="str">
        <f t="shared" si="5"/>
        <v>2-4</v>
      </c>
    </row>
    <row r="88" spans="1:16">
      <c r="A88" s="7" t="s">
        <v>109</v>
      </c>
      <c r="B88" s="10"/>
      <c r="C88" s="6" t="s">
        <v>188</v>
      </c>
      <c r="D88" s="2">
        <v>46206</v>
      </c>
      <c r="E88" s="6" t="s">
        <v>201</v>
      </c>
      <c r="F88" s="5" t="s">
        <v>30</v>
      </c>
      <c r="G88" s="6" t="s">
        <v>283</v>
      </c>
      <c r="H88" s="6" t="s">
        <v>73</v>
      </c>
      <c r="I88" s="9">
        <v>64478</v>
      </c>
      <c r="J88" s="6" t="s">
        <v>234</v>
      </c>
      <c r="K88" s="6" t="s">
        <v>281</v>
      </c>
      <c r="L88" s="6" t="s">
        <v>177</v>
      </c>
      <c r="M88" s="6" t="s">
        <v>303</v>
      </c>
      <c r="N88">
        <f t="shared" si="3"/>
        <v>3</v>
      </c>
      <c r="O88">
        <f t="shared" si="6"/>
        <v>2</v>
      </c>
      <c r="P88" t="str">
        <f t="shared" si="5"/>
        <v/>
      </c>
    </row>
    <row r="89" spans="1:16">
      <c r="A89" s="7" t="s">
        <v>109</v>
      </c>
      <c r="B89" s="10"/>
      <c r="C89" s="6" t="s">
        <v>188</v>
      </c>
      <c r="D89" s="2">
        <v>46206</v>
      </c>
      <c r="E89" s="6" t="s">
        <v>308</v>
      </c>
      <c r="F89" s="5" t="s">
        <v>47</v>
      </c>
      <c r="G89" s="6" t="s">
        <v>221</v>
      </c>
      <c r="H89" s="6" t="s">
        <v>95</v>
      </c>
      <c r="I89" s="9">
        <v>69045</v>
      </c>
      <c r="J89" s="6" t="s">
        <v>244</v>
      </c>
      <c r="K89" s="6" t="s">
        <v>250</v>
      </c>
      <c r="L89" s="6" t="s">
        <v>177</v>
      </c>
      <c r="M89" s="10"/>
      <c r="N89">
        <f t="shared" si="3"/>
        <v>1</v>
      </c>
      <c r="O89">
        <f t="shared" si="6"/>
        <v>0</v>
      </c>
      <c r="P89" t="str">
        <f t="shared" si="5"/>
        <v/>
      </c>
    </row>
    <row r="90" spans="1:16">
      <c r="A90" s="7" t="s">
        <v>110</v>
      </c>
      <c r="B90" s="10"/>
      <c r="C90" s="6" t="s">
        <v>197</v>
      </c>
      <c r="D90" s="2">
        <v>46207</v>
      </c>
      <c r="E90" s="6" t="s">
        <v>212</v>
      </c>
      <c r="F90" s="6" t="s">
        <v>14</v>
      </c>
      <c r="G90" s="6" t="s">
        <v>287</v>
      </c>
      <c r="H90" s="5" t="s">
        <v>65</v>
      </c>
      <c r="I90" s="9">
        <v>68777</v>
      </c>
      <c r="J90" s="6" t="s">
        <v>214</v>
      </c>
      <c r="K90" s="6" t="s">
        <v>267</v>
      </c>
      <c r="L90" s="6" t="s">
        <v>177</v>
      </c>
      <c r="M90" s="10"/>
      <c r="N90">
        <f t="shared" si="3"/>
        <v>0</v>
      </c>
      <c r="O90">
        <f t="shared" si="6"/>
        <v>3</v>
      </c>
      <c r="P90" t="str">
        <f t="shared" si="5"/>
        <v/>
      </c>
    </row>
    <row r="91" spans="1:16">
      <c r="A91" s="7" t="s">
        <v>110</v>
      </c>
      <c r="B91" s="10"/>
      <c r="C91" s="6" t="s">
        <v>197</v>
      </c>
      <c r="D91" s="2">
        <v>46207</v>
      </c>
      <c r="E91" s="6" t="s">
        <v>280</v>
      </c>
      <c r="F91" s="6" t="s">
        <v>53</v>
      </c>
      <c r="G91" s="6" t="s">
        <v>208</v>
      </c>
      <c r="H91" s="5" t="s">
        <v>102</v>
      </c>
      <c r="I91" s="9">
        <v>68324</v>
      </c>
      <c r="J91" s="6" t="s">
        <v>222</v>
      </c>
      <c r="K91" s="6" t="s">
        <v>262</v>
      </c>
      <c r="L91" s="6" t="s">
        <v>177</v>
      </c>
      <c r="M91" s="10"/>
      <c r="N91">
        <f t="shared" si="3"/>
        <v>0</v>
      </c>
      <c r="O91">
        <f t="shared" si="6"/>
        <v>1</v>
      </c>
      <c r="P91" t="str">
        <f t="shared" si="5"/>
        <v/>
      </c>
    </row>
    <row r="92" spans="1:16">
      <c r="A92" s="7" t="s">
        <v>110</v>
      </c>
      <c r="B92" s="10"/>
      <c r="C92" s="6" t="s">
        <v>211</v>
      </c>
      <c r="D92" s="2">
        <v>46208</v>
      </c>
      <c r="E92" s="6" t="s">
        <v>268</v>
      </c>
      <c r="F92" s="6" t="s">
        <v>17</v>
      </c>
      <c r="G92" s="6" t="s">
        <v>284</v>
      </c>
      <c r="H92" s="5" t="s">
        <v>77</v>
      </c>
      <c r="I92" s="9">
        <v>80663</v>
      </c>
      <c r="J92" s="6" t="s">
        <v>202</v>
      </c>
      <c r="K92" s="6" t="s">
        <v>219</v>
      </c>
      <c r="L92" s="6" t="s">
        <v>177</v>
      </c>
      <c r="M92" s="10"/>
      <c r="N92">
        <f t="shared" si="3"/>
        <v>1</v>
      </c>
      <c r="O92">
        <f t="shared" si="6"/>
        <v>2</v>
      </c>
      <c r="P92" t="str">
        <f t="shared" si="5"/>
        <v/>
      </c>
    </row>
    <row r="93" spans="1:16">
      <c r="A93" s="7" t="s">
        <v>110</v>
      </c>
      <c r="B93" s="10"/>
      <c r="C93" s="6" t="s">
        <v>211</v>
      </c>
      <c r="D93" s="2">
        <v>46208</v>
      </c>
      <c r="E93" s="6" t="s">
        <v>259</v>
      </c>
      <c r="F93" s="6" t="s">
        <v>12</v>
      </c>
      <c r="G93" s="6" t="s">
        <v>309</v>
      </c>
      <c r="H93" s="5" t="s">
        <v>105</v>
      </c>
      <c r="I93" s="9">
        <v>80824</v>
      </c>
      <c r="J93" s="6" t="s">
        <v>182</v>
      </c>
      <c r="K93" s="6" t="s">
        <v>239</v>
      </c>
      <c r="L93" s="6" t="s">
        <v>177</v>
      </c>
      <c r="M93" s="10"/>
      <c r="N93">
        <f t="shared" si="3"/>
        <v>2</v>
      </c>
      <c r="O93">
        <f t="shared" si="6"/>
        <v>3</v>
      </c>
      <c r="P93" t="str">
        <f t="shared" si="5"/>
        <v/>
      </c>
    </row>
    <row r="94" spans="1:16">
      <c r="A94" s="7" t="s">
        <v>110</v>
      </c>
      <c r="B94" s="10"/>
      <c r="C94" s="6" t="s">
        <v>227</v>
      </c>
      <c r="D94" s="2">
        <v>46209</v>
      </c>
      <c r="E94" s="6" t="s">
        <v>310</v>
      </c>
      <c r="F94" s="6" t="s">
        <v>32</v>
      </c>
      <c r="G94" s="6" t="s">
        <v>208</v>
      </c>
      <c r="H94" s="5" t="s">
        <v>103</v>
      </c>
      <c r="I94" s="9">
        <v>70649</v>
      </c>
      <c r="J94" s="6" t="s">
        <v>218</v>
      </c>
      <c r="K94" s="6" t="s">
        <v>253</v>
      </c>
      <c r="L94" s="6" t="s">
        <v>177</v>
      </c>
      <c r="M94" s="10"/>
      <c r="N94">
        <f t="shared" si="3"/>
        <v>0</v>
      </c>
      <c r="O94">
        <f t="shared" si="6"/>
        <v>1</v>
      </c>
      <c r="P94" t="str">
        <f t="shared" si="5"/>
        <v/>
      </c>
    </row>
    <row r="95" spans="1:16">
      <c r="A95" s="7" t="s">
        <v>110</v>
      </c>
      <c r="B95" s="10"/>
      <c r="C95" s="6" t="s">
        <v>227</v>
      </c>
      <c r="D95" s="2">
        <v>46209</v>
      </c>
      <c r="E95" s="6" t="s">
        <v>304</v>
      </c>
      <c r="F95" s="6" t="s">
        <v>15</v>
      </c>
      <c r="G95" s="6" t="s">
        <v>240</v>
      </c>
      <c r="H95" s="5" t="s">
        <v>104</v>
      </c>
      <c r="I95" s="9">
        <v>66925</v>
      </c>
      <c r="J95" s="6" t="s">
        <v>228</v>
      </c>
      <c r="K95" s="6" t="s">
        <v>233</v>
      </c>
      <c r="L95" s="6" t="s">
        <v>177</v>
      </c>
      <c r="M95" s="10"/>
      <c r="N95">
        <f t="shared" si="3"/>
        <v>1</v>
      </c>
      <c r="O95">
        <f t="shared" si="6"/>
        <v>4</v>
      </c>
      <c r="P95" t="str">
        <f t="shared" si="5"/>
        <v/>
      </c>
    </row>
    <row r="96" spans="1:16">
      <c r="A96" s="7" t="s">
        <v>110</v>
      </c>
      <c r="B96" s="10"/>
      <c r="C96" s="6" t="s">
        <v>237</v>
      </c>
      <c r="D96" s="2">
        <v>46210</v>
      </c>
      <c r="E96" s="6" t="s">
        <v>230</v>
      </c>
      <c r="F96" s="5" t="s">
        <v>30</v>
      </c>
      <c r="G96" s="6" t="s">
        <v>283</v>
      </c>
      <c r="H96" s="6" t="s">
        <v>72</v>
      </c>
      <c r="I96" s="9">
        <v>68239</v>
      </c>
      <c r="J96" s="6" t="s">
        <v>232</v>
      </c>
      <c r="K96" s="6" t="s">
        <v>223</v>
      </c>
      <c r="L96" s="6" t="s">
        <v>177</v>
      </c>
      <c r="M96" s="10"/>
      <c r="N96">
        <f t="shared" si="3"/>
        <v>3</v>
      </c>
      <c r="O96">
        <f t="shared" si="6"/>
        <v>2</v>
      </c>
      <c r="P96" t="str">
        <f t="shared" si="5"/>
        <v/>
      </c>
    </row>
    <row r="97" spans="1:16" ht="30">
      <c r="A97" s="7" t="s">
        <v>110</v>
      </c>
      <c r="B97" s="10"/>
      <c r="C97" s="6" t="s">
        <v>237</v>
      </c>
      <c r="D97" s="2">
        <v>46210</v>
      </c>
      <c r="E97" s="6" t="s">
        <v>302</v>
      </c>
      <c r="F97" s="6" t="s">
        <v>37</v>
      </c>
      <c r="G97" s="6" t="s">
        <v>311</v>
      </c>
      <c r="H97" s="6" t="s">
        <v>83</v>
      </c>
      <c r="I97" s="9">
        <v>52497</v>
      </c>
      <c r="J97" s="6" t="s">
        <v>205</v>
      </c>
      <c r="K97" s="6" t="s">
        <v>264</v>
      </c>
      <c r="L97" s="6" t="s">
        <v>177</v>
      </c>
      <c r="M97" s="6" t="s">
        <v>312</v>
      </c>
      <c r="N97">
        <f t="shared" si="3"/>
        <v>0</v>
      </c>
      <c r="O97">
        <f t="shared" si="6"/>
        <v>0</v>
      </c>
      <c r="P97" t="str">
        <f>IF(LEFT(TRIM(G97),1)="(",MID(TRIM(G97),2,FIND(")",TRIM(G97))-2)&amp;"-"&amp;MID(TRIM(G97),FIND("(",TRIM(G97),2)+1,LEN(TRIM(G97))-FIND("(",TRIM(G97),2)-1),"")</f>
        <v>4-3</v>
      </c>
    </row>
    <row r="98" spans="1:16">
      <c r="A98" s="7" t="s">
        <v>111</v>
      </c>
      <c r="B98" s="10"/>
      <c r="C98" s="6" t="s">
        <v>179</v>
      </c>
      <c r="D98" s="2">
        <v>46212</v>
      </c>
      <c r="E98" s="6" t="s">
        <v>268</v>
      </c>
      <c r="F98" s="5" t="s">
        <v>28</v>
      </c>
      <c r="G98" s="6" t="s">
        <v>181</v>
      </c>
      <c r="H98" s="6" t="s">
        <v>65</v>
      </c>
      <c r="I98" s="9">
        <v>63811</v>
      </c>
      <c r="J98" s="6" t="s">
        <v>209</v>
      </c>
      <c r="K98" s="6" t="s">
        <v>192</v>
      </c>
      <c r="L98" s="6" t="s">
        <v>177</v>
      </c>
      <c r="M98" s="10"/>
      <c r="N98">
        <f t="shared" si="3"/>
        <v>2</v>
      </c>
      <c r="O98">
        <f t="shared" si="6"/>
        <v>0</v>
      </c>
      <c r="P98" t="str">
        <f t="shared" si="5"/>
        <v/>
      </c>
    </row>
    <row r="99" spans="1:16">
      <c r="A99" s="7" t="s">
        <v>111</v>
      </c>
      <c r="B99" s="10"/>
      <c r="C99" s="6" t="s">
        <v>188</v>
      </c>
      <c r="D99" s="2">
        <v>46213</v>
      </c>
      <c r="E99" s="6" t="s">
        <v>198</v>
      </c>
      <c r="F99" s="5" t="s">
        <v>25</v>
      </c>
      <c r="G99" s="6" t="s">
        <v>185</v>
      </c>
      <c r="H99" s="6" t="s">
        <v>104</v>
      </c>
      <c r="I99" s="9">
        <v>70492</v>
      </c>
      <c r="J99" s="6" t="s">
        <v>195</v>
      </c>
      <c r="K99" s="6" t="s">
        <v>267</v>
      </c>
      <c r="L99" s="6" t="s">
        <v>177</v>
      </c>
      <c r="M99" s="10"/>
      <c r="N99">
        <f t="shared" si="3"/>
        <v>2</v>
      </c>
      <c r="O99">
        <f t="shared" si="6"/>
        <v>1</v>
      </c>
      <c r="P99" t="str">
        <f t="shared" si="5"/>
        <v/>
      </c>
    </row>
    <row r="100" spans="1:16">
      <c r="A100" s="7" t="s">
        <v>111</v>
      </c>
      <c r="B100" s="10"/>
      <c r="C100" s="6" t="s">
        <v>197</v>
      </c>
      <c r="D100" s="2">
        <v>46214</v>
      </c>
      <c r="E100" s="6" t="s">
        <v>280</v>
      </c>
      <c r="F100" s="6" t="s">
        <v>44</v>
      </c>
      <c r="G100" s="6" t="s">
        <v>284</v>
      </c>
      <c r="H100" s="5" t="s">
        <v>105</v>
      </c>
      <c r="I100" s="9">
        <v>64478</v>
      </c>
      <c r="J100" s="6" t="s">
        <v>234</v>
      </c>
      <c r="K100" s="6" t="s">
        <v>250</v>
      </c>
      <c r="L100" s="6" t="s">
        <v>177</v>
      </c>
      <c r="M100" s="6" t="s">
        <v>303</v>
      </c>
      <c r="N100">
        <f t="shared" si="3"/>
        <v>1</v>
      </c>
      <c r="O100">
        <f t="shared" si="6"/>
        <v>2</v>
      </c>
      <c r="P100" t="str">
        <f t="shared" si="5"/>
        <v/>
      </c>
    </row>
    <row r="101" spans="1:16">
      <c r="A101" s="7" t="s">
        <v>111</v>
      </c>
      <c r="B101" s="10"/>
      <c r="C101" s="6" t="s">
        <v>197</v>
      </c>
      <c r="D101" s="2">
        <v>46214</v>
      </c>
      <c r="E101" s="6" t="s">
        <v>242</v>
      </c>
      <c r="F101" s="5" t="s">
        <v>30</v>
      </c>
      <c r="G101" s="6" t="s">
        <v>238</v>
      </c>
      <c r="H101" s="6" t="s">
        <v>64</v>
      </c>
      <c r="I101" s="9">
        <v>69045</v>
      </c>
      <c r="J101" s="6" t="s">
        <v>244</v>
      </c>
      <c r="K101" s="6" t="s">
        <v>255</v>
      </c>
      <c r="L101" s="6" t="s">
        <v>177</v>
      </c>
      <c r="M101" s="6" t="s">
        <v>303</v>
      </c>
      <c r="N101">
        <f t="shared" si="3"/>
        <v>3</v>
      </c>
      <c r="O101">
        <f t="shared" si="6"/>
        <v>1</v>
      </c>
      <c r="P101" t="str">
        <f t="shared" si="5"/>
        <v/>
      </c>
    </row>
    <row r="102" spans="1:16">
      <c r="A102" s="7" t="s">
        <v>112</v>
      </c>
      <c r="B102" s="10"/>
      <c r="C102" s="6" t="s">
        <v>237</v>
      </c>
      <c r="D102" s="2">
        <v>46217</v>
      </c>
      <c r="E102" s="6" t="s">
        <v>310</v>
      </c>
      <c r="F102" s="6" t="s">
        <v>28</v>
      </c>
      <c r="G102" s="6" t="s">
        <v>288</v>
      </c>
      <c r="H102" s="5" t="s">
        <v>103</v>
      </c>
      <c r="I102" s="9">
        <v>70176</v>
      </c>
      <c r="J102" s="6" t="s">
        <v>218</v>
      </c>
      <c r="K102" s="6" t="s">
        <v>264</v>
      </c>
      <c r="L102" s="6" t="s">
        <v>177</v>
      </c>
      <c r="M102" s="10"/>
      <c r="N102">
        <f t="shared" si="3"/>
        <v>0</v>
      </c>
      <c r="O102">
        <f t="shared" si="6"/>
        <v>2</v>
      </c>
      <c r="P102" t="str">
        <f>IF(LEFT(TRIM(G102),1)="(",MID(TRIM(G102),2,FIND(")",TRIM(G102))-2)&amp;"-"&amp;MID(TRIM(G102),FIND("(",TRIM(G102),2)+1,LEN(TRIM(G102))-FIND("(",TRIM(G102),2)-1),"")</f>
        <v/>
      </c>
    </row>
    <row r="103" spans="1:16">
      <c r="A103" s="7" t="s">
        <v>112</v>
      </c>
      <c r="B103" s="10"/>
      <c r="C103" s="6" t="s">
        <v>247</v>
      </c>
      <c r="D103" s="2">
        <v>46218</v>
      </c>
      <c r="E103" s="6" t="s">
        <v>189</v>
      </c>
      <c r="F103" s="6" t="s">
        <v>33</v>
      </c>
      <c r="G103" s="6" t="s">
        <v>284</v>
      </c>
      <c r="H103" s="5" t="s">
        <v>107</v>
      </c>
      <c r="I103" s="9">
        <v>68239</v>
      </c>
      <c r="J103" s="6" t="s">
        <v>232</v>
      </c>
      <c r="K103" s="6" t="s">
        <v>219</v>
      </c>
      <c r="L103" s="6" t="s">
        <v>177</v>
      </c>
      <c r="M103" s="10"/>
      <c r="N103">
        <f t="shared" si="3"/>
        <v>1</v>
      </c>
      <c r="O103">
        <f t="shared" si="6"/>
        <v>2</v>
      </c>
      <c r="P103" t="str">
        <f t="shared" ref="P103:P105" si="7">IF(LEFT(TRIM(G103),1)="(",MID(TRIM(G103),2,FIND(")",TRIM(G103))-2)&amp;"-"&amp;MID(TRIM(G103),FIND("(",TRIM(G103),2)+1,LEN(TRIM(G103))-FIND("(",TRIM(G103),2)-1),"")</f>
        <v/>
      </c>
    </row>
    <row r="104" spans="1:16">
      <c r="A104" s="7" t="s">
        <v>113</v>
      </c>
      <c r="B104" s="10"/>
      <c r="C104" s="6" t="s">
        <v>197</v>
      </c>
      <c r="D104" s="2">
        <v>46221</v>
      </c>
      <c r="E104" s="6" t="s">
        <v>280</v>
      </c>
      <c r="F104" s="6" t="s">
        <v>28</v>
      </c>
      <c r="G104" s="6" t="s">
        <v>313</v>
      </c>
      <c r="H104" s="5" t="s">
        <v>105</v>
      </c>
      <c r="I104" s="9">
        <v>64478</v>
      </c>
      <c r="J104" s="6" t="s">
        <v>234</v>
      </c>
      <c r="K104" s="6" t="s">
        <v>206</v>
      </c>
      <c r="L104" s="6" t="s">
        <v>177</v>
      </c>
      <c r="M104" s="10"/>
      <c r="N104">
        <f t="shared" si="3"/>
        <v>4</v>
      </c>
      <c r="O104">
        <f t="shared" si="6"/>
        <v>6</v>
      </c>
      <c r="P104" t="str">
        <f t="shared" si="7"/>
        <v/>
      </c>
    </row>
    <row r="105" spans="1:16">
      <c r="A105" s="7" t="s">
        <v>114</v>
      </c>
      <c r="B105" s="10"/>
      <c r="C105" s="6" t="s">
        <v>211</v>
      </c>
      <c r="D105" s="2">
        <v>46222</v>
      </c>
      <c r="E105" s="6" t="s">
        <v>189</v>
      </c>
      <c r="F105" s="5" t="s">
        <v>25</v>
      </c>
      <c r="G105" s="6" t="s">
        <v>221</v>
      </c>
      <c r="H105" s="6" t="s">
        <v>107</v>
      </c>
      <c r="I105" s="9">
        <v>80663</v>
      </c>
      <c r="J105" s="6" t="s">
        <v>202</v>
      </c>
      <c r="K105" s="6" t="s">
        <v>203</v>
      </c>
      <c r="L105" s="6" t="s">
        <v>177</v>
      </c>
      <c r="M105" s="6" t="s">
        <v>303</v>
      </c>
      <c r="N105">
        <f t="shared" si="3"/>
        <v>1</v>
      </c>
      <c r="O105">
        <f t="shared" si="6"/>
        <v>0</v>
      </c>
      <c r="P105" t="str">
        <f t="shared" si="7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Matches</vt:lpstr>
      <vt:lpstr>Match_Stats</vt:lpstr>
      <vt:lpstr>Constants</vt:lpstr>
      <vt:lpstr>Split</vt:lpstr>
      <vt:lpstr>WC2022 Squad_Standard_Stats</vt:lpstr>
      <vt:lpstr>Raw_Matches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Sabina B K</dc:creator>
  <cp:lastModifiedBy>Sabina B K</cp:lastModifiedBy>
  <dcterms:created xsi:type="dcterms:W3CDTF">2026-10-08T02:14:08Z</dcterms:created>
  <dcterms:modified xsi:type="dcterms:W3CDTF">2026-10-08T07:06:02Z</dcterms:modified>
</cp:coreProperties>
</file>